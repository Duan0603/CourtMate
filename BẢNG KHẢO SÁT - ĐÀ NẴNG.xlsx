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hảo sát Chủ Sân" sheetId="1" r:id="rId5"/>
    <sheet state="visible" name="Khảo sát BTC Giải Đấu" sheetId="2" r:id="rId6"/>
  </sheets>
  <definedNames/>
  <calcPr/>
</workbook>
</file>

<file path=xl/sharedStrings.xml><?xml version="1.0" encoding="utf-8"?>
<sst xmlns="http://schemas.openxmlformats.org/spreadsheetml/2006/main" count="888" uniqueCount="377">
  <si>
    <t>COURTMATE - HỆ THỐNG DỮ LIỆU KHẢO SÁT BAN TỔ CHỨC GIẢI ĐẤU</t>
  </si>
  <si>
    <t>COURTMATE - HỆ THỐNG DỮ LIỆU KHẢO SÁT CHỦ SÂN THỂ THAO (PICKLEBALL &amp; CẦU LÔNG)</t>
  </si>
  <si>
    <t>TỔNG SỐ ĐƠN VỊ BTC</t>
  </si>
  <si>
    <t>GIẢI PICKLEBALL</t>
  </si>
  <si>
    <t>GIẢI CẦU LÔNG</t>
  </si>
  <si>
    <t>TỔNG SỐ CƠ SỞ</t>
  </si>
  <si>
    <t>SÂN PICKLEBALL</t>
  </si>
  <si>
    <t>SÂN CẦU LÔNG</t>
  </si>
  <si>
    <t>Khảo sát quy mô giải, hình thức vận hành, nhu cầu phần mềm quản lý bảng đấu &amp; cổng đăng ký</t>
  </si>
  <si>
    <t>SẴN SÀNG HỢP TÁC</t>
  </si>
  <si>
    <t>Khảo sát hiện trạng vận hành, cơ sở vật chất, chính sách &amp; mức độ sẵn sàng hợp tác số hóa</t>
  </si>
  <si>
    <t>Đơn vị nghiên cứu: CourtMate Platform | Phục vụ các giải đấu Pickleball &amp; Cầu lông</t>
  </si>
  <si>
    <t>Đơn vị khảo sát</t>
  </si>
  <si>
    <t>Tổ chức Pickleball</t>
  </si>
  <si>
    <t>Tổ chức Cầu lông</t>
  </si>
  <si>
    <t>I. THÔNG TIN BAN TỔ CHỨC</t>
  </si>
  <si>
    <t>II. QUY MÔ &amp; ĐẶC THÙ GIẢI ĐẤU (PICKLEBALL &amp; CẦU LÔNG)</t>
  </si>
  <si>
    <t>Đơn vị nghiên cứu: CourtMate Platform | Đối tượng mục tiêu: Sân Pickleball &amp; Sân Cầu lông</t>
  </si>
  <si>
    <t>III. HIỆN TRẠNG VẬN HÀNH &amp; PAIN POINTS</t>
  </si>
  <si>
    <t>Sân đã khảo sát</t>
  </si>
  <si>
    <t>Cơ sở có Pickleball</t>
  </si>
  <si>
    <t>IV. CƠ HỘI HỢP TÁC COURTMATE</t>
  </si>
  <si>
    <t>Cơ sở có Cầu lông</t>
  </si>
  <si>
    <t>Tỷ lệ cởi mở hợp tác</t>
  </si>
  <si>
    <t>Mã BTC</t>
  </si>
  <si>
    <t>Tên sự kiện / giải đấu</t>
  </si>
  <si>
    <t>Tên đơn vị / CLB tổ chức</t>
  </si>
  <si>
    <t>Đại diện / Trưởng BTC</t>
  </si>
  <si>
    <t>Số điện thoại</t>
  </si>
  <si>
    <t>Email / Kênh liên hệ</t>
  </si>
  <si>
    <t>Khu vực hoạt động</t>
  </si>
  <si>
    <t>Người khảo sát</t>
  </si>
  <si>
    <t>Bộ môn tổ chức</t>
  </si>
  <si>
    <t>Tần suất tổ chức</t>
  </si>
  <si>
    <t>Quy mô VĐV trung bình</t>
  </si>
  <si>
    <t>Thể thức thi đấu chính</t>
  </si>
  <si>
    <t>Hình thức địa điểm thi đấu</t>
  </si>
  <si>
    <t>Lệ phí thi đấu trung bình (đ/cặp)</t>
  </si>
  <si>
    <t>Kênh nhận đăng ký hiện tại</t>
  </si>
  <si>
    <t>Công cụ bốc thăm &amp; xếp bảng</t>
  </si>
  <si>
    <t>Khó khăn vận hành lớn nhất</t>
  </si>
  <si>
    <t>Mức độ sẵn sàng hợp tác</t>
  </si>
  <si>
    <t>Tính năng mong đợi nhất</t>
  </si>
  <si>
    <t>Ghi chú &amp; Đề xuất hợp tác</t>
  </si>
  <si>
    <t>I. THÔNG TIN CƠ SỞ &amp; CHỦ SÂN</t>
  </si>
  <si>
    <t>BTC1</t>
  </si>
  <si>
    <t>Laughing Open Mùa 2</t>
  </si>
  <si>
    <t xml:space="preserve">CLB Laughing </t>
  </si>
  <si>
    <t>Nguyễn Hữu Huy</t>
  </si>
  <si>
    <t>II. QUY MÔ SÂN &amp; CƠ SỞ VẬT CHẤT (PICKLEBALL &amp; CẦU LÔNG)</t>
  </si>
  <si>
    <t>https://www.facebook.com/profile.php?id=61566969656498&amp;__cft__[0]=AZjURZeb9cZjcG-u9Z47Mlnf20cD3BB8zm0T-Js6a-BIGDIEposiEmGZN3A-2SgL6Gk4D6I1gbqQP3yaeuzB6qqZftHI5i-kDB42FpHG7QdSd3zLDDseORSYb1l95HqFgAkZxp6ZQYwl3Exl&amp;__tn__=-UC%2CP-R</t>
  </si>
  <si>
    <t>III. VẬN HÀNH, GIÁ THUÊ &amp; KHÁCH HÀNG</t>
  </si>
  <si>
    <t>IV. NHU CẦU SỐ HÓA &amp; HỢP TÁC COURTMATE</t>
  </si>
  <si>
    <t>Mã sân</t>
  </si>
  <si>
    <t>Tên sân thể thao</t>
  </si>
  <si>
    <t>Tỉnh / Thành phố</t>
  </si>
  <si>
    <t>Địa chỉ cụ thể</t>
  </si>
  <si>
    <t>Họ tên người liên hệ</t>
  </si>
  <si>
    <t>Kênh liên hệ ưu tiên</t>
  </si>
  <si>
    <t>Bộ môn chính</t>
  </si>
  <si>
    <t>Tổng số sân</t>
  </si>
  <si>
    <t>Số sân Pickleball</t>
  </si>
  <si>
    <t>Số sân Cầu lông</t>
  </si>
  <si>
    <t>Loại hình sân</t>
  </si>
  <si>
    <t>Chất lượng mặt sân &amp; Đèn</t>
  </si>
  <si>
    <t>Tiện ích khuôn viên</t>
  </si>
  <si>
    <t>Khung giờ hoạt động</t>
  </si>
  <si>
    <t>Giá giờ thường (đ/h)</t>
  </si>
  <si>
    <t>Giá giờ vàng (đ/h)</t>
  </si>
  <si>
    <t>Đối tượng khách chính</t>
  </si>
  <si>
    <t>Chính sách cọc &amp; hủy sân</t>
  </si>
  <si>
    <t>Sơn Trà, Đà Nẵng</t>
  </si>
  <si>
    <t>Nhu cầu tính năng chính</t>
  </si>
  <si>
    <t>Phương thức thanh toán</t>
  </si>
  <si>
    <t>Hình thức quản lý hiện tại</t>
  </si>
  <si>
    <t>Huân Thành</t>
  </si>
  <si>
    <t>Tình trạng hình ảnh / Media</t>
  </si>
  <si>
    <t>CL1</t>
  </si>
  <si>
    <t>Sân cầu lông Ngũ Hành</t>
  </si>
  <si>
    <t>Đà Nẵng</t>
  </si>
  <si>
    <t xml:space="preserve">Cuối Đường Phạm Hữu Nhật, Ngũ Hành Sơn, Đà Nẵng </t>
  </si>
  <si>
    <t>093 713 26 56</t>
  </si>
  <si>
    <t>Cầu lông</t>
  </si>
  <si>
    <t>Nửa năm / lần</t>
  </si>
  <si>
    <t xml:space="preserve">70 vdv </t>
  </si>
  <si>
    <t>Vòng tròn tính điểm (Round Robin)</t>
  </si>
  <si>
    <t>Thuê cố định 1 cụm sân</t>
  </si>
  <si>
    <t>200.000vnd</t>
  </si>
  <si>
    <t>Điện thoại trực tiếp</t>
  </si>
  <si>
    <t>Google Form</t>
  </si>
  <si>
    <t>Bốc thăm thủ công + Excel</t>
  </si>
  <si>
    <t>Sắp xếp các vận động viên thi đấu cũng như kiểm soát các thủ tục tiến hành trận đấu mượt mà</t>
  </si>
  <si>
    <t>Quan tâm - Cần tư vấn thêm</t>
  </si>
  <si>
    <t>Trọn gói giải pháp giải đấu</t>
  </si>
  <si>
    <t>Trong nhà (Indoor)</t>
  </si>
  <si>
    <t>BTC2</t>
  </si>
  <si>
    <t>GIẢI CẦU LÔNG FPTU BADMINTON SERIES 2025</t>
  </si>
  <si>
    <t>Sân thảm xanh dương đủ tiêu chuẩn, đèn sáng</t>
  </si>
  <si>
    <t>5h - 23h30</t>
  </si>
  <si>
    <r>
      <t xml:space="preserve">Phòng Hợp tác quốc tế &amp; Phát triển cá nhân (ICPDP) phối hợp cùng </t>
    </r>
    <r>
      <rPr>
        <rFont val="Be Vietnam Pro"/>
        <i/>
        <color rgb="FF1155CC"/>
        <sz val="9.0"/>
        <u/>
      </rPr>
      <t>FUB Club - Câu lạc bộ cầu lông FUDA</t>
    </r>
  </si>
  <si>
    <t>Không giới hạn đối tượng</t>
  </si>
  <si>
    <r>
      <rPr>
        <rFont val="Be Vietnam Pro"/>
        <i/>
        <color rgb="FF1155CC"/>
        <sz val="9.0"/>
        <u/>
      </rPr>
      <t>FUB Club - Câu lạc bộ cầu lông FUDA</t>
    </r>
  </si>
  <si>
    <t>Tiền mặt, chuyển khoản</t>
  </si>
  <si>
    <t>https://www.facebook.com/FUBadmintonClubDN</t>
  </si>
  <si>
    <t>Ngũ Hành Sơn, Đà Nẵng</t>
  </si>
  <si>
    <t>CL2</t>
  </si>
  <si>
    <t>Sân vận động Ngũ Hành Sơn</t>
  </si>
  <si>
    <t>Quý / lần</t>
  </si>
  <si>
    <t>100 vdv</t>
  </si>
  <si>
    <t>Vòng bảng + Loại trực tiếp</t>
  </si>
  <si>
    <t xml:space="preserve">01 Trần Văn Đán, Ngũ Hành Sơn, Đà Nẵng </t>
  </si>
  <si>
    <t>120.000vnd</t>
  </si>
  <si>
    <t>Kiểm soát điều phối các lịch thi đấu của các vận động viên thi đấu trên 2 nội dung.</t>
  </si>
  <si>
    <t>BTC3</t>
  </si>
  <si>
    <t>Giải Pickleball Queens Đà Nẵng 2026</t>
  </si>
  <si>
    <t>Liên đoàn Pickleball TP. Đà Nẵng (DPF) + Đối tác quốc tế</t>
  </si>
  <si>
    <t>Sân thảm xanh lá đủ tiêu chuẩn, đèn sáng</t>
  </si>
  <si>
    <t>Ông Trần Phước Sơn</t>
  </si>
  <si>
    <t>7h - 21h30</t>
  </si>
  <si>
    <t>Văn phòng DPF: Cung Tiên Sơn, 03 Phan Đăng Lưu, Hải Châu</t>
  </si>
  <si>
    <t>Toàn TP. Đà Nẵng</t>
  </si>
  <si>
    <t>Pickleball</t>
  </si>
  <si>
    <t>1 năm / lần</t>
  </si>
  <si>
    <t>Nữ VĐV hàng đầu (Pro/Open)</t>
  </si>
  <si>
    <t>Chưa công bố chi tiết</t>
  </si>
  <si>
    <t>Website riêng / App</t>
  </si>
  <si>
    <t>Phối hợp quốc tế, hậu cần VĐV nước ngoài</t>
  </si>
  <si>
    <t>CL3</t>
  </si>
  <si>
    <t>SÂN CẦU LÔNG INDEXSPORT 2</t>
  </si>
  <si>
    <t>81C Đ. Lê Văn Hiến, Ngũ Hành Sơn, Đà Nẵng</t>
  </si>
  <si>
    <t>BTC4</t>
  </si>
  <si>
    <t>Giải Pickleball JCI Việt Nam mở rộng 2026</t>
  </si>
  <si>
    <t>JCI Hội An + Liên đoàn Lãnh đạo &amp; DN trẻ</t>
  </si>
  <si>
    <t>Ban tổ chức JCI Việt Nam</t>
  </si>
  <si>
    <t>Form đăng ký</t>
  </si>
  <si>
    <t>P. Hòa Cường, Đà Nẵng</t>
  </si>
  <si>
    <t>1 tháng / lần</t>
  </si>
  <si>
    <t>Phong trào mở rộng (thiện nguyện)</t>
  </si>
  <si>
    <t>Chuyển khoản</t>
  </si>
  <si>
    <t>Fanpage / Bài đăng mạng xã hội</t>
  </si>
  <si>
    <t>Gây quỹ từ thiện, quản lý thời gian đăng ký</t>
  </si>
  <si>
    <t>CL4</t>
  </si>
  <si>
    <t>BTC5</t>
  </si>
  <si>
    <t>Sân 85 Ngũ Hành Sơn</t>
  </si>
  <si>
    <t>Giải Pickleball báo chí Đà Nẵng mở rộng 2026</t>
  </si>
  <si>
    <t>85 Ngũ Hành Sơn, Đà Nẵng</t>
  </si>
  <si>
    <t>Hội Nhà báo TP. Đà Nẵng</t>
  </si>
  <si>
    <t>Lãnh đạo Hội Nhà báo</t>
  </si>
  <si>
    <t>Chưa công bố</t>
  </si>
  <si>
    <t>Báo chí + VĐV phong trào</t>
  </si>
  <si>
    <t>Sân nhà tự sở hữu</t>
  </si>
  <si>
    <t>Chưa công bố chi tiết (gây quỹ)</t>
  </si>
  <si>
    <t>Phối hợp lịch trình nhà báo</t>
  </si>
  <si>
    <t>BTC6</t>
  </si>
  <si>
    <t>Giải Pickleball Học sinh Sinh viên TP. Đà Nẵng 2026 (Cúp FPT City)</t>
  </si>
  <si>
    <t>CL5</t>
  </si>
  <si>
    <t>SÂN CẦU LÔNG DƯƠNG GIA HX</t>
  </si>
  <si>
    <t>Ban lãnh đạo DPF + Đại diện FPT</t>
  </si>
  <si>
    <t>Học sinh (THCS, THPT) + Sinh viên (CĐ, ĐH)</t>
  </si>
  <si>
    <t>207 Quách Thị Trang, Hòa Xuân, Đà Nẵng</t>
  </si>
  <si>
    <t>Loại trực tiếp (Knockout)</t>
  </si>
  <si>
    <t>Zalo / Tin nhắn trực tiếp</t>
  </si>
  <si>
    <t>Quản lý lứa tuổi học sinh, an toàn</t>
  </si>
  <si>
    <t>BTC7</t>
  </si>
  <si>
    <t>Heineken Pickleball World Cup 2026 – Cá nhân</t>
  </si>
  <si>
    <t>Ban tổ chức World Cup + DPF</t>
  </si>
  <si>
    <t>BTC World Cup (Phối hợp DPF)</t>
  </si>
  <si>
    <t>Website: https://worldcup.pickleball.com/</t>
  </si>
  <si>
    <t>Cung Tiên Sơn + các cụm sân đạt chuẩn</t>
  </si>
  <si>
    <t>DUPR 3.0–5.0 + Pro (theo độ tuổi)</t>
  </si>
  <si>
    <t>CL6</t>
  </si>
  <si>
    <t>T&amp;T Badminton</t>
  </si>
  <si>
    <t>534 Phạm Hùng, Hòa Xuân, Đà Nẵng</t>
  </si>
  <si>
    <t>038 4941109</t>
  </si>
  <si>
    <t>Hậu cần 80+ quốc gia, an ninh, kỷ lục Guinness</t>
  </si>
  <si>
    <t>BTC8</t>
  </si>
  <si>
    <t>Heineken Pickleball World Cup 2026 – Quốc gia</t>
  </si>
  <si>
    <t>BTC World Cup + Liên đoàn Pickleball VN</t>
  </si>
  <si>
    <t>7h - 22h</t>
  </si>
  <si>
    <t>CL7</t>
  </si>
  <si>
    <t>SÂN CẦU LÔNG INDEXSPORT</t>
  </si>
  <si>
    <t>Open, Kids, Junior, Senior, Master (Đội tuyển quốc gia)</t>
  </si>
  <si>
    <t>448 Mẹ Thứ, Hòa Xuân, Đà Nẵng</t>
  </si>
  <si>
    <t>Lưu động đổi sân theo từng giải</t>
  </si>
  <si>
    <t>Phối hợp 80+ quốc gia, lịch thi đấu dày đặc</t>
  </si>
  <si>
    <t>BTC9</t>
  </si>
  <si>
    <t>World Junior Pickleball Cup 2026</t>
  </si>
  <si>
    <t>BTC World Cup</t>
  </si>
  <si>
    <t>Cụm sân Hợp Thành Phát (P. An Hải)</t>
  </si>
  <si>
    <t>Trẻ em (Kids, Junior)</t>
  </si>
  <si>
    <t>Quản lý VĐV trẻ, an toàn</t>
  </si>
  <si>
    <t>CL8</t>
  </si>
  <si>
    <t>BTC10</t>
  </si>
  <si>
    <t>B&amp;L BADMINTON</t>
  </si>
  <si>
    <t>Giải Pickleball phường Liên Chiểu 2026</t>
  </si>
  <si>
    <t>UBND P. Liên Chiểu</t>
  </si>
  <si>
    <t>116 Đô Đốc Lân, Hòa Xuân, Đà Nẵng</t>
  </si>
  <si>
    <t>Lãnh đạo UBND P. Liên Chiểu</t>
  </si>
  <si>
    <t>098 8220775</t>
  </si>
  <si>
    <t>P. Liên Chiểu, Đà Nẵng</t>
  </si>
  <si>
    <t>Phong trào nội bộ phường</t>
  </si>
  <si>
    <t>5h - 23h31</t>
  </si>
  <si>
    <t>Quản lý phong trào địa phương</t>
  </si>
  <si>
    <t>CL9</t>
  </si>
  <si>
    <t>BTC11</t>
  </si>
  <si>
    <t>Sân cầu lông Hiếu Con</t>
  </si>
  <si>
    <t xml:space="preserve">172-182 Đỗ Quỳ, Hòa Xuân, Đà Nẵng </t>
  </si>
  <si>
    <t>BTC12</t>
  </si>
  <si>
    <t>Giải Vô địch Cầu lông các nhóm tuổi Thiếu niên Quốc gia (Tranh giải Donex).</t>
  </si>
  <si>
    <t>Liên đoàn Cầu lông Việt Nam phối hợp Sở VH-TT TP. Đà Nẵng</t>
  </si>
  <si>
    <t>Đại diện Liên đoàn</t>
  </si>
  <si>
    <r>
      <rPr>
        <rFont val="Be Vietnam Pro"/>
        <color rgb="FF171D17"/>
        <sz val="9.0"/>
      </rPr>
      <t xml:space="preserve">Fanpage Liên đoàn Cầu lông Việt Nam / Website </t>
    </r>
    <r>
      <rPr>
        <rFont val="Be Vietnam Pro"/>
        <color rgb="FF1155CC"/>
        <sz val="9.0"/>
        <u/>
      </rPr>
      <t>vbf.vn</t>
    </r>
  </si>
  <si>
    <t>CL10</t>
  </si>
  <si>
    <t>Sân Trường Tiểu học Ngô Quyền</t>
  </si>
  <si>
    <t xml:space="preserve">32 Lương Định Của, Cẩm Lệ, Đà Nẵng </t>
  </si>
  <si>
    <t>023 63846189</t>
  </si>
  <si>
    <t>Cung Thể thao Tiên Sơn, TP. Đà Nẵng.</t>
  </si>
  <si>
    <t>CL11</t>
  </si>
  <si>
    <t>Sân K9/19 Trần Huấn</t>
  </si>
  <si>
    <t>600 - 700 VĐV</t>
  </si>
  <si>
    <t>K9/19 Trần Huấn, Cẩm Lệ, Đà Nẵng</t>
  </si>
  <si>
    <t>Phần mềm thi đấu chuyên dụng</t>
  </si>
  <si>
    <t>Quản lý vận hành trong khi đang diễn ra giải</t>
  </si>
  <si>
    <t>BTC13</t>
  </si>
  <si>
    <t>Giải Cầu lông Đại hội Thể dục thể thao thành phố Đà Nẵng</t>
  </si>
  <si>
    <t>Sở Văn hóa, Thể thao và Du lịch TP. Đà Nẵng</t>
  </si>
  <si>
    <t>Cổng thông tin điện tử Sở VH-TT Đà Nẵng</t>
  </si>
  <si>
    <t>CL12</t>
  </si>
  <si>
    <t>Sân cầu lông CLB Nam Bo</t>
  </si>
  <si>
    <t>45 Trần Xuân Soạn, khuê Trung, Cẩm lệ,Đà Nẵng</t>
  </si>
  <si>
    <t>0968635995 , 0982752591</t>
  </si>
  <si>
    <t>4 năm/lần</t>
  </si>
  <si>
    <t>Khoảng 300 VĐV</t>
  </si>
  <si>
    <t>Không có</t>
  </si>
  <si>
    <t>BTC14</t>
  </si>
  <si>
    <t>Giải Cầu lông truyền thống Nhà Văn hóa Lao động</t>
  </si>
  <si>
    <t>Sân thảm tím đủ tiêu chuẩn, đèn sáng</t>
  </si>
  <si>
    <t>Nhà Văn hóa Lao động TP. Đà Nẵng / Liên đoàn Lao động TP</t>
  </si>
  <si>
    <t>Ban Giám đốc Nhà Văn hóa Lao động</t>
  </si>
  <si>
    <t>Fanpage Công đoàn Đà Nẵng / Trực tiếp tại NVH</t>
  </si>
  <si>
    <t>Số 02 Trần Phú, Thạch Thang, Hải Châu, Đà Nẵng (Nhà VH Lao động)</t>
  </si>
  <si>
    <t>CL13</t>
  </si>
  <si>
    <t>Sân Cầu Lông Dacinco</t>
  </si>
  <si>
    <t>150 - 200 VĐV</t>
  </si>
  <si>
    <t xml:space="preserve">456 Nguyễn Hữu Thọ, Cẩm Lệ, Đà Nẵng </t>
  </si>
  <si>
    <t>CL14</t>
  </si>
  <si>
    <t>SÂN CẦU LÔNG &amp; PICKLEBALL INDEXSPORT 3</t>
  </si>
  <si>
    <t>12 Trịnh Công Sơn, Hòa Cường, Đà Nẵng</t>
  </si>
  <si>
    <t>Pickleball &amp; Cầu lông</t>
  </si>
  <si>
    <t>CL15</t>
  </si>
  <si>
    <t>Sân cầu lông Giang Badminton - Giang Badminton Court</t>
  </si>
  <si>
    <t>145 Lý Nhân Tông, Cẩm Lệ, Đà Nẵng</t>
  </si>
  <si>
    <t>Sân thảm xám đủ tiêu chuẩn, đèn sáng</t>
  </si>
  <si>
    <t>CL16</t>
  </si>
  <si>
    <t>Cung Thể Thao Tiên Sơn</t>
  </si>
  <si>
    <t>Phan Đăng Lưu, Hòa Cường, Đà Nẵng</t>
  </si>
  <si>
    <t>023 63797947</t>
  </si>
  <si>
    <t>Sân đủ tiêu chuẩn, đèn sáng</t>
  </si>
  <si>
    <t>Unknown</t>
  </si>
  <si>
    <t>CL17</t>
  </si>
  <si>
    <t>SÂN CẦU LÔNG QUÂN KHU 5, HẢI CHÂU, ĐÀ NẴNG</t>
  </si>
  <si>
    <t>07 Duy Tân, Hòa Cường, Đà Nẵng</t>
  </si>
  <si>
    <t>Sân gỗ đủ tiêu chuẩn, đèn sáng</t>
  </si>
  <si>
    <t>CL18</t>
  </si>
  <si>
    <t>Sân Cầu Lông Win Win 146 Duy Tân</t>
  </si>
  <si>
    <t>146 Duy Tân, Hòa Cường, Đà Nẵng</t>
  </si>
  <si>
    <t>CL19</t>
  </si>
  <si>
    <t>Nhà Văn hóa Lao động Thành phố Đà Nẵng</t>
  </si>
  <si>
    <t xml:space="preserve">2 Cách Mạng Tháng 8, Hòa Cường, Cẩm Lệ, Đà Nẵng </t>
  </si>
  <si>
    <t>CL20</t>
  </si>
  <si>
    <t>ARMY Badminton 1</t>
  </si>
  <si>
    <t>Đối diện, 1 Đ. Phạm Ngọc Mậu, An Khê, Đà Nẵng</t>
  </si>
  <si>
    <t>CL21</t>
  </si>
  <si>
    <t>ARMY Badminton 2</t>
  </si>
  <si>
    <t>224 Lê Trọng Tấn, An Khê, Đà Nẵng, Việt Nam</t>
  </si>
  <si>
    <t>CL22</t>
  </si>
  <si>
    <t>Trung tâm Thể dục Thể thao Sơn Trà</t>
  </si>
  <si>
    <t>Nguyễn Thiếp, An Hải, Đà Nẵng</t>
  </si>
  <si>
    <t>CL23</t>
  </si>
  <si>
    <t>Sân Trường Tiểu học Ngô Gia Tự</t>
  </si>
  <si>
    <t>61 Phạm Cự Lượng, An Hải, Đà Nẵng</t>
  </si>
  <si>
    <t>023 63831242</t>
  </si>
  <si>
    <t>7h - 21h</t>
  </si>
  <si>
    <t>CL24</t>
  </si>
  <si>
    <t>CLB Cầu Lông Wings Badminton</t>
  </si>
  <si>
    <t>132 Tô Hiến Thành, An Hải, Đà Nẵng</t>
  </si>
  <si>
    <t>Fanpage Facebook</t>
  </si>
  <si>
    <t>CL25</t>
  </si>
  <si>
    <t xml:space="preserve">Sân cầu lông Trường CĐ LTTP </t>
  </si>
  <si>
    <t xml:space="preserve">An Hải, Đà Nẵng </t>
  </si>
  <si>
    <t>CL26</t>
  </si>
  <si>
    <t>Sân pickleball, cầu lông AN ĐỒN 5.5</t>
  </si>
  <si>
    <t>Đường số 5, An Hải, Đà Nẵng</t>
  </si>
  <si>
    <t>Trong nhà và ngoài trời</t>
  </si>
  <si>
    <t>CL27</t>
  </si>
  <si>
    <t>Sân Cầu Lông An Sinh</t>
  </si>
  <si>
    <t>Đường Số 1, An Hải, Đà Nẵng</t>
  </si>
  <si>
    <t>CL28</t>
  </si>
  <si>
    <t>Khu thể thao Agribank</t>
  </si>
  <si>
    <t>An Hải, Sơn Trà, Đà Nẵng</t>
  </si>
  <si>
    <t>5h - 23h</t>
  </si>
  <si>
    <t>CL29</t>
  </si>
  <si>
    <t>Sân cầu lông Aurora Sport</t>
  </si>
  <si>
    <t>Đường Số 6, Khu công nghiệp, An Hải, Đà Nẵng</t>
  </si>
  <si>
    <t>CL30</t>
  </si>
  <si>
    <t>PINPON SPORT Badminton</t>
  </si>
  <si>
    <t>Sân thảm xanh đủ tiêu chuẩn, đèn sáng</t>
  </si>
  <si>
    <t>CL31</t>
  </si>
  <si>
    <t xml:space="preserve">Sân Trường Chính trị </t>
  </si>
  <si>
    <t>34 Hồ Nghinh, An Hải, Đà Nẵng</t>
  </si>
  <si>
    <t>023 63932840</t>
  </si>
  <si>
    <t>CL32</t>
  </si>
  <si>
    <t>Sân cầu lông Arena.02</t>
  </si>
  <si>
    <t>25 Hồ Hán Thương, Sơn Trà, Đà Nẵng</t>
  </si>
  <si>
    <t>CL33</t>
  </si>
  <si>
    <t>Sân Bưu Điện</t>
  </si>
  <si>
    <t>50B Nguyễn Du, Hải Châu, Đà Nẵng</t>
  </si>
  <si>
    <t>CL34</t>
  </si>
  <si>
    <t>Sân Cầu Lông Đa Phước - Da Phuoc Badminton Court</t>
  </si>
  <si>
    <t>Đường Ông Ích Khiêm, Khu đô thị Đa Phước, Hải Châu, Đà Nẵng</t>
  </si>
  <si>
    <t>CL35</t>
  </si>
  <si>
    <t>Sân Cầu Lông Trọng Nghĩa - Trong Nghia Badminton Court</t>
  </si>
  <si>
    <t>194 Bế Văn Đàn, Thanh Khê, Đà Nẵng</t>
  </si>
  <si>
    <t>CL36</t>
  </si>
  <si>
    <t>Câu lạc bộ Bóng Bàn - Cầu Lông Thanh Khê Đông</t>
  </si>
  <si>
    <t xml:space="preserve">34 Đỗ Ngọc Du, Thanh Khê, Đà Nẵng </t>
  </si>
  <si>
    <t>CL37</t>
  </si>
  <si>
    <t>Sân cầu lông Kỳ Đồng</t>
  </si>
  <si>
    <t>Thanh Khê, Đà Nẵng</t>
  </si>
  <si>
    <t>7h - 23h30</t>
  </si>
  <si>
    <t>CL38</t>
  </si>
  <si>
    <t xml:space="preserve">Sân Trường Đại học Thể dục Thể thao </t>
  </si>
  <si>
    <t>44 Dũng Sĩ Thanh Khê, Thanh Khê, Đà Nẵng</t>
  </si>
  <si>
    <t>023 63707188</t>
  </si>
  <si>
    <t>CL39</t>
  </si>
  <si>
    <t>Sân Trường Cao đẳng Thương mại</t>
  </si>
  <si>
    <t>45 Dũng Sĩ Thanh Khê, Thanh Khê, Đà Nẵng</t>
  </si>
  <si>
    <t>023 63780525</t>
  </si>
  <si>
    <t>CL40</t>
  </si>
  <si>
    <t>Sân Cầu Lông Lâm Gia</t>
  </si>
  <si>
    <t xml:space="preserve">17 Đ. Bàu Năng 11, Hòa Khánh, Đà Nẵng </t>
  </si>
  <si>
    <t>CL41</t>
  </si>
  <si>
    <t>Ting ting badminton</t>
  </si>
  <si>
    <t>69 Đ. Ngô Thì Nhậm, Liên Chiểu, Đà Nẵng</t>
  </si>
  <si>
    <t>CL42</t>
  </si>
  <si>
    <t>Sân Trường Đại Học Sư Phạm - Đại học Đà Nẵng</t>
  </si>
  <si>
    <t>459 Tôn Đức Thắng, Hòa Khánh, Đà Nẵng</t>
  </si>
  <si>
    <t>023 63841323</t>
  </si>
  <si>
    <t>CL43</t>
  </si>
  <si>
    <t xml:space="preserve">Sân Cầu Lông CBC Badminton </t>
  </si>
  <si>
    <t>642 Tôn Đức Thắng, Hòa Khánh, Đà Nẵng</t>
  </si>
  <si>
    <t>CL44</t>
  </si>
  <si>
    <t>SÂN CẦU LÔNG HOT SPORT</t>
  </si>
  <si>
    <t>34VR+6FW, Hải Vân, Đà Nẵng</t>
  </si>
  <si>
    <t>CL45</t>
  </si>
  <si>
    <t>Tin sport Badminton</t>
  </si>
  <si>
    <t>107 Trường Chinh, An Khê, Đà Nẵng</t>
  </si>
  <si>
    <t>093 5333748</t>
  </si>
  <si>
    <t>CL46</t>
  </si>
  <si>
    <t>ICON BADMINTON</t>
  </si>
  <si>
    <t>122 Tôn Đản, An Khê, Đà Nẵng</t>
  </si>
  <si>
    <t>090 5591379</t>
  </si>
  <si>
    <t>CL47</t>
  </si>
  <si>
    <t>ACE BADMINTON</t>
  </si>
  <si>
    <t xml:space="preserve">2a Hòa Nam 6, Hòa Khánh, Đà Nẵng </t>
  </si>
  <si>
    <t>094 3209797</t>
  </si>
  <si>
    <t>CL48</t>
  </si>
  <si>
    <t>Sân cầu lông Arena.01</t>
  </si>
  <si>
    <t xml:space="preserve">40 Hoàng Văn Thái, Hòa Khánh, Đà Nẵng </t>
  </si>
  <si>
    <t>078 8818585</t>
  </si>
  <si>
    <t>CL49</t>
  </si>
  <si>
    <t>Sân cầu lông Arena.03</t>
  </si>
  <si>
    <t xml:space="preserve">38 Hoàng Văn Thái, Hòa Khánh, Đà Nẵng </t>
  </si>
  <si>
    <t>CL50</t>
  </si>
  <si>
    <t>ForFun Badminton</t>
  </si>
  <si>
    <t>102 Hoàng Văn Thái, Hòa Khánh, Đà Nẵng</t>
  </si>
  <si>
    <t>090 3647267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</si>
</sst>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0.0%"/>
    <numFmt numFmtId="166" formatCode="000 000 00 00"/>
    <numFmt numFmtId="167" formatCode="#,##0&quot; đ&quot;"/>
    <numFmt numFmtId="168" formatCode="#,##"/>
  </numFmts>
  <fonts count="28">
    <font>
      <sz val="10.0"/>
      <color rgb="FF000000"/>
      <name val="Arial"/>
      <scheme val="minor"/>
    </font>
    <font>
      <color theme="1"/>
      <name val="Be Vietnam Pro"/>
    </font>
    <font>
      <b/>
      <sz val="14.0"/>
      <color rgb="FF1F5025"/>
      <name val="Be Vietnam Pro"/>
    </font>
    <font/>
    <font>
      <b/>
      <sz val="9.0"/>
      <color rgb="FF1F5025"/>
      <name val="Be Vietnam Pro"/>
    </font>
    <font>
      <sz val="10.0"/>
      <color rgb="FF71796E"/>
      <name val="Be Vietnam Pro"/>
    </font>
    <font>
      <b/>
      <sz val="16.0"/>
      <color rgb="FF1F5025"/>
      <name val="Be Vietnam Pro"/>
    </font>
    <font>
      <i/>
      <sz val="9.0"/>
      <color rgb="FF71796E"/>
      <name val="Be Vietnam Pro"/>
    </font>
    <font>
      <sz val="8.0"/>
      <color rgb="FF71796E"/>
      <name val="Be Vietnam Pro"/>
    </font>
    <font>
      <sz val="9.0"/>
      <color rgb="FF161D18"/>
      <name val="Be Vietnam Pro"/>
    </font>
    <font>
      <b/>
      <sz val="9.0"/>
      <color rgb="FFFFFFFF"/>
      <name val="Be Vietnam Pro"/>
    </font>
    <font>
      <sz val="9.0"/>
      <color rgb="FF171D17"/>
      <name val="Be Vietnam Pro"/>
    </font>
    <font>
      <b/>
      <sz val="10.0"/>
      <color rgb="FFFFFFFF"/>
      <name val="Be Vietnam Pro"/>
    </font>
    <font>
      <sz val="9.0"/>
      <color theme="1"/>
      <name val="Be Vietnam Pro"/>
    </font>
    <font>
      <u/>
      <sz val="9.0"/>
      <color rgb="FF171D17"/>
      <name val="Be Vietnam Pro"/>
    </font>
    <font>
      <u/>
      <sz val="9.0"/>
      <color rgb="FF222222"/>
      <name val="Be Vietnam Pro"/>
    </font>
    <font>
      <u/>
      <sz val="9.0"/>
      <color rgb="FF0000FF"/>
      <name val="Be Vietnam Pro"/>
    </font>
    <font>
      <u/>
      <sz val="9.0"/>
      <color rgb="FF171D17"/>
      <name val="Be Vietnam Pro"/>
    </font>
    <font>
      <color theme="1"/>
      <name val="Arial"/>
      <scheme val="minor"/>
    </font>
    <font>
      <color rgb="FF1F1F1F"/>
      <name val="&quot;Google Sans&quot;"/>
    </font>
    <font>
      <sz val="10.0"/>
      <color rgb="FF171D17"/>
      <name val="Be Vietnam Pro"/>
    </font>
    <font>
      <color rgb="FF000000"/>
      <name val="Roboto"/>
    </font>
    <font>
      <u/>
      <sz val="9.0"/>
      <color rgb="FF171D17"/>
      <name val="Be Vietnam Pro"/>
    </font>
    <font>
      <sz val="10.0"/>
      <color rgb="FF000000"/>
      <name val="Arial"/>
    </font>
    <font>
      <sz val="9.0"/>
      <color rgb="FF000000"/>
      <name val="Be Vietnam Pro"/>
    </font>
    <font>
      <sz val="11.0"/>
      <color rgb="FF000000"/>
      <name val="&quot;Segoe UI Historic&quot;"/>
    </font>
    <font>
      <color rgb="FF1F1F1F"/>
      <name val="Be Vietnam Pro"/>
    </font>
    <font>
      <color rgb="FF5E5E5E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D3E8D0"/>
        <bgColor rgb="FFD3E8D0"/>
      </patternFill>
    </fill>
    <fill>
      <patternFill patternType="solid">
        <fgColor rgb="FFF7FAF1"/>
        <bgColor rgb="FFF7FAF1"/>
      </patternFill>
    </fill>
    <fill>
      <patternFill patternType="solid">
        <fgColor rgb="FFF6FAF4"/>
        <bgColor rgb="FFF6FAF4"/>
      </patternFill>
    </fill>
    <fill>
      <patternFill patternType="solid">
        <fgColor rgb="FF38693B"/>
        <bgColor rgb="FF38693B"/>
      </patternFill>
    </fill>
    <fill>
      <patternFill patternType="solid">
        <fgColor rgb="FFD1E8D5"/>
        <bgColor rgb="FFD1E8D5"/>
      </patternFill>
    </fill>
    <fill>
      <patternFill patternType="solid">
        <fgColor rgb="FFFFFFFF"/>
        <bgColor rgb="FFFFFFFF"/>
      </patternFill>
    </fill>
  </fills>
  <borders count="34">
    <border/>
    <border>
      <bottom style="thin">
        <color rgb="FFB5C9B7"/>
      </bottom>
    </border>
    <border>
      <right style="thin">
        <color rgb="FFB5C9B7"/>
      </right>
      <bottom style="thin">
        <color rgb="FFB5C9B7"/>
      </bottom>
    </border>
    <border>
      <left style="thin">
        <color rgb="FFBFD1BA"/>
      </left>
      <right style="thin">
        <color rgb="FFD8E5D3"/>
      </right>
      <top style="thin">
        <color rgb="FFBFD1BA"/>
      </top>
      <bottom style="thin">
        <color rgb="FFD8E5D3"/>
      </bottom>
    </border>
    <border>
      <left style="thin">
        <color rgb="FFD8E5D3"/>
      </left>
      <right style="thin">
        <color rgb="FFD8E5D3"/>
      </right>
      <top style="thin">
        <color rgb="FFBFD1BA"/>
      </top>
      <bottom style="thin">
        <color rgb="FFD8E5D3"/>
      </bottom>
    </border>
    <border>
      <left style="thin">
        <color rgb="FFD8E5D3"/>
      </left>
      <right style="thin">
        <color rgb="FFBFD1BA"/>
      </right>
      <top style="thin">
        <color rgb="FFBFD1BA"/>
      </top>
      <bottom style="thin">
        <color rgb="FFD8E5D3"/>
      </bottom>
    </border>
    <border>
      <bottom style="thin">
        <color rgb="FF707971"/>
      </bottom>
    </border>
    <border>
      <right style="thin">
        <color rgb="FFB5C9B7"/>
      </right>
      <bottom style="thin">
        <color rgb="FF707971"/>
      </bottom>
    </border>
    <border>
      <left style="thin">
        <color rgb="FFBFD1BA"/>
      </left>
      <right style="thin">
        <color rgb="FFD8E5D3"/>
      </right>
      <top style="thin">
        <color rgb="FFD8E5D3"/>
      </top>
      <bottom style="thin">
        <color rgb="FFD8E5D3"/>
      </bottom>
    </border>
    <border>
      <left style="thin">
        <color rgb="FFD8E5D3"/>
      </left>
      <right style="thin">
        <color rgb="FFD8E5D3"/>
      </right>
      <top style="thin">
        <color rgb="FFD8E5D3"/>
      </top>
      <bottom style="thin">
        <color rgb="FFD8E5D3"/>
      </bottom>
    </border>
    <border>
      <left style="thin">
        <color rgb="FFD8E5D3"/>
      </left>
      <right style="thin">
        <color rgb="FFBFD1BA"/>
      </right>
      <top style="thin">
        <color rgb="FFD8E5D3"/>
      </top>
      <bottom style="thin">
        <color rgb="FFD8E5D3"/>
      </bottom>
    </border>
    <border>
      <left style="thin">
        <color rgb="FFBFD1BA"/>
      </left>
      <right style="thin">
        <color rgb="FFD8E5D3"/>
      </right>
      <top style="thin">
        <color rgb="FFD8E5D3"/>
      </top>
      <bottom style="thin">
        <color rgb="FFBFD1BA"/>
      </bottom>
    </border>
    <border>
      <left style="thin">
        <color rgb="FFD8E5D3"/>
      </left>
      <right style="thin">
        <color rgb="FFD8E5D3"/>
      </right>
      <top style="thin">
        <color rgb="FFD8E5D3"/>
      </top>
      <bottom style="thin">
        <color rgb="FFBFD1BA"/>
      </bottom>
    </border>
    <border>
      <left style="thin">
        <color rgb="FFD8E5D3"/>
      </left>
      <right style="thin">
        <color rgb="FFBFD1BA"/>
      </right>
      <top style="thin">
        <color rgb="FFD8E5D3"/>
      </top>
      <bottom style="thin">
        <color rgb="FFBFD1BA"/>
      </bottom>
    </border>
    <border>
      <left style="thin">
        <color rgb="FFB5C9B7"/>
      </left>
      <right style="thin">
        <color rgb="FFD8E0DB"/>
      </right>
      <top style="thin">
        <color rgb="FFB5C9B7"/>
      </top>
    </border>
    <border>
      <left style="thin">
        <color rgb="FFD8E0DB"/>
      </left>
      <right style="thin">
        <color rgb="FFD8E0DB"/>
      </right>
      <top style="thin">
        <color rgb="FFB5C9B7"/>
      </top>
    </border>
    <border>
      <left style="thin">
        <color rgb="FFD8E0DB"/>
      </left>
      <right style="thin">
        <color rgb="FFB5C9B7"/>
      </right>
    </border>
    <border>
      <left style="thin">
        <color rgb="FF38693B"/>
      </left>
      <top style="thin">
        <color rgb="FF38693B"/>
      </top>
      <bottom style="thin">
        <color rgb="FFBFD1BA"/>
      </bottom>
    </border>
    <border>
      <top style="thin">
        <color rgb="FF38693B"/>
      </top>
      <bottom style="thin">
        <color rgb="FFBFD1BA"/>
      </bottom>
    </border>
    <border>
      <right style="thin">
        <color rgb="FFBFD1BA"/>
      </right>
      <top style="thin">
        <color rgb="FF38693B"/>
      </top>
      <bottom style="thin">
        <color rgb="FFBFD1BA"/>
      </bottom>
    </border>
    <border>
      <left style="thin">
        <color rgb="FFBFD1BA"/>
      </left>
      <top style="thin">
        <color rgb="FF38693B"/>
      </top>
      <bottom style="thin">
        <color rgb="FFBFD1BA"/>
      </bottom>
    </border>
    <border>
      <right style="thin">
        <color rgb="FF38693B"/>
      </right>
      <top style="thin">
        <color rgb="FF38693B"/>
      </top>
      <bottom style="thin">
        <color rgb="FFBFD1BA"/>
      </bottom>
    </border>
    <border>
      <left style="thin">
        <color rgb="FF38693B"/>
      </left>
      <right style="thin">
        <color rgb="FFBFD1BA"/>
      </right>
      <top style="thin">
        <color rgb="FFBFD1BA"/>
      </top>
    </border>
    <border>
      <left style="thin">
        <color rgb="FFBFD1BA"/>
      </left>
      <right style="thin">
        <color rgb="FFBFD1BA"/>
      </right>
      <top style="thin">
        <color rgb="FFBFD1BA"/>
      </top>
    </border>
    <border>
      <left style="thin">
        <color rgb="FFBFD1BA"/>
      </left>
      <right style="thin">
        <color rgb="FF38693B"/>
      </right>
      <top style="thin">
        <color rgb="FFBFD1BA"/>
      </top>
    </border>
    <border>
      <left style="thin">
        <color rgb="FFD8E5D3"/>
      </left>
      <right style="thin">
        <color rgb="FFE5EDE0"/>
      </right>
      <top style="thin">
        <color rgb="FFD8E5D3"/>
      </top>
      <bottom style="thin">
        <color rgb="FFE5EDE0"/>
      </bottom>
    </border>
    <border>
      <left style="thin">
        <color rgb="FFE5EDE0"/>
      </left>
      <right style="thin">
        <color rgb="FFE5EDE0"/>
      </right>
      <top style="thin">
        <color rgb="FFD8E5D3"/>
      </top>
      <bottom style="thin">
        <color rgb="FFE5EDE0"/>
      </bottom>
    </border>
    <border>
      <left style="thin">
        <color rgb="FFE5EDE0"/>
      </left>
      <right style="thin">
        <color rgb="FFD8E5D3"/>
      </right>
      <top style="thin">
        <color rgb="FFD8E5D3"/>
      </top>
      <bottom style="thin">
        <color rgb="FFE5EDE0"/>
      </bottom>
    </border>
    <border>
      <left style="thin">
        <color rgb="FFE5EDE0"/>
      </left>
      <right style="thin">
        <color rgb="FFE5EDE0"/>
      </right>
      <top style="thin">
        <color rgb="FFE5EDE0"/>
      </top>
      <bottom style="thin">
        <color rgb="FFE5EDE0"/>
      </bottom>
    </border>
    <border>
      <left style="thin">
        <color rgb="FFD8E5D3"/>
      </left>
      <right style="thin">
        <color rgb="FFE5EDE0"/>
      </right>
      <top style="thin">
        <color rgb="FFE5EDE0"/>
      </top>
      <bottom style="thin">
        <color rgb="FFE5EDE0"/>
      </bottom>
    </border>
    <border>
      <left style="thin">
        <color rgb="FFE5EDE0"/>
      </left>
      <right style="thin">
        <color rgb="FFD8E5D3"/>
      </right>
      <top style="thin">
        <color rgb="FFE5EDE0"/>
      </top>
      <bottom style="thin">
        <color rgb="FFE5EDE0"/>
      </bottom>
    </border>
    <border>
      <left style="thin">
        <color rgb="FFD8E5D3"/>
      </left>
      <right style="thin">
        <color rgb="FFE5EDE0"/>
      </right>
      <top style="thin">
        <color rgb="FFE5EDE0"/>
      </top>
      <bottom style="thin">
        <color rgb="FFD8E5D3"/>
      </bottom>
    </border>
    <border>
      <left style="thin">
        <color rgb="FFE5EDE0"/>
      </left>
      <right style="thin">
        <color rgb="FFE5EDE0"/>
      </right>
      <top style="thin">
        <color rgb="FFE5EDE0"/>
      </top>
      <bottom style="thin">
        <color rgb="FFD8E5D3"/>
      </bottom>
    </border>
    <border>
      <left style="thin">
        <color rgb="FFE5EDE0"/>
      </left>
      <right style="thin">
        <color rgb="FFD8E5D3"/>
      </right>
      <top style="thin">
        <color rgb="FFE5EDE0"/>
      </top>
      <bottom style="thin">
        <color rgb="FFD8E5D3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1" fillId="0" fontId="3" numFmtId="0" xfId="0" applyBorder="1" applyFont="1"/>
    <xf borderId="2" fillId="0" fontId="3" numFmtId="0" xfId="0" applyBorder="1" applyFont="1"/>
    <xf borderId="3" fillId="2" fontId="4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1"/>
    </xf>
    <xf borderId="4" fillId="2" fontId="4" numFmtId="0" xfId="0" applyAlignment="1" applyBorder="1" applyFill="1" applyFont="1">
      <alignment horizontal="center" readingOrder="0" vertical="center"/>
    </xf>
    <xf borderId="5" fillId="2" fontId="4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6" fillId="0" fontId="5" numFmtId="0" xfId="0" applyAlignment="1" applyBorder="1" applyFont="1">
      <alignment readingOrder="0" vertical="center"/>
    </xf>
    <xf borderId="6" fillId="0" fontId="3" numFmtId="0" xfId="0" applyBorder="1" applyFont="1"/>
    <xf borderId="7" fillId="0" fontId="3" numFmtId="0" xfId="0" applyBorder="1" applyFont="1"/>
    <xf borderId="8" fillId="3" fontId="6" numFmtId="0" xfId="0" applyAlignment="1" applyBorder="1" applyFill="1" applyFont="1">
      <alignment horizontal="center" vertical="center"/>
    </xf>
    <xf borderId="9" fillId="3" fontId="6" numFmtId="0" xfId="0" applyAlignment="1" applyBorder="1" applyFill="1" applyFont="1">
      <alignment horizontal="center" vertical="center"/>
    </xf>
    <xf borderId="10" fillId="3" fontId="6" numFmtId="0" xfId="0" applyAlignment="1" applyBorder="1" applyFill="1" applyFont="1">
      <alignment horizontal="center" vertical="center"/>
    </xf>
    <xf borderId="0" fillId="0" fontId="7" numFmtId="0" xfId="0" applyAlignment="1" applyFont="1">
      <alignment readingOrder="0" vertical="center"/>
    </xf>
    <xf borderId="11" fillId="3" fontId="8" numFmtId="0" xfId="0" applyAlignment="1" applyBorder="1" applyFill="1" applyFont="1">
      <alignment horizontal="center" readingOrder="0" vertical="center"/>
    </xf>
    <xf borderId="12" fillId="3" fontId="8" numFmtId="0" xfId="0" applyAlignment="1" applyBorder="1" applyFill="1" applyFont="1">
      <alignment horizontal="center" readingOrder="0" vertical="center"/>
    </xf>
    <xf borderId="13" fillId="3" fontId="8" numFmtId="0" xfId="0" applyAlignment="1" applyBorder="1" applyFill="1" applyFont="1">
      <alignment horizontal="center" readingOrder="0" vertical="center"/>
    </xf>
    <xf borderId="0" fillId="4" fontId="9" numFmtId="0" xfId="0" applyAlignment="1" applyFill="1" applyFont="1">
      <alignment readingOrder="0" vertical="center"/>
    </xf>
    <xf borderId="14" fillId="4" fontId="9" numFmtId="0" xfId="0" applyAlignment="1" applyBorder="1" applyFill="1" applyFont="1">
      <alignment readingOrder="0" vertical="center"/>
    </xf>
    <xf borderId="15" fillId="4" fontId="9" numFmtId="164" xfId="0" applyAlignment="1" applyBorder="1" applyFill="1" applyFont="1" applyNumberFormat="1">
      <alignment readingOrder="0" vertical="center"/>
    </xf>
    <xf borderId="15" fillId="4" fontId="9" numFmtId="0" xfId="0" applyAlignment="1" applyBorder="1" applyFill="1" applyFont="1">
      <alignment readingOrder="0" vertical="center"/>
    </xf>
    <xf borderId="16" fillId="4" fontId="9" numFmtId="0" xfId="0" applyAlignment="1" applyBorder="1" applyFill="1" applyFont="1">
      <alignment readingOrder="0" vertical="center"/>
    </xf>
    <xf borderId="0" fillId="5" fontId="10" numFmtId="0" xfId="0" applyAlignment="1" applyFill="1" applyFont="1">
      <alignment horizontal="center" readingOrder="0" vertical="center"/>
    </xf>
    <xf borderId="10" fillId="3" fontId="6" numFmtId="165" xfId="0" applyAlignment="1" applyBorder="1" applyFill="1" applyFont="1" applyNumberFormat="1">
      <alignment horizontal="center" vertical="center"/>
    </xf>
    <xf borderId="17" fillId="5" fontId="10" numFmtId="0" xfId="0" applyAlignment="1" applyBorder="1" applyFill="1" applyFont="1">
      <alignment horizontal="center" readingOrder="0" vertical="center"/>
    </xf>
    <xf borderId="18" fillId="0" fontId="3" numFmtId="0" xfId="0" applyBorder="1" applyFont="1"/>
    <xf borderId="19" fillId="0" fontId="3" numFmtId="0" xfId="0" applyBorder="1" applyFont="1"/>
    <xf borderId="20" fillId="5" fontId="10" numFmtId="0" xfId="0" applyAlignment="1" applyBorder="1" applyFill="1" applyFont="1">
      <alignment horizontal="center" readingOrder="0" vertical="center"/>
    </xf>
    <xf borderId="21" fillId="0" fontId="3" numFmtId="0" xfId="0" applyBorder="1" applyFont="1"/>
    <xf borderId="22" fillId="2" fontId="4" numFmtId="0" xfId="0" applyAlignment="1" applyBorder="1" applyFill="1" applyFont="1">
      <alignment horizontal="center" readingOrder="0" shrinkToFit="0" vertical="center" wrapText="1"/>
    </xf>
    <xf borderId="23" fillId="2" fontId="4" numFmtId="0" xfId="0" applyAlignment="1" applyBorder="1" applyFill="1" applyFont="1">
      <alignment horizontal="center" readingOrder="0" shrinkToFit="0" vertical="center" wrapText="1"/>
    </xf>
    <xf borderId="24" fillId="2" fontId="4" numFmtId="0" xfId="0" applyAlignment="1" applyBorder="1" applyFill="1" applyFont="1">
      <alignment horizontal="center" readingOrder="0" shrinkToFit="0" vertical="center" wrapText="1"/>
    </xf>
    <xf borderId="25" fillId="6" fontId="11" numFmtId="0" xfId="0" applyAlignment="1" applyBorder="1" applyFill="1" applyFont="1">
      <alignment horizontal="center" readingOrder="0" vertical="center"/>
    </xf>
    <xf borderId="17" fillId="5" fontId="12" numFmtId="0" xfId="0" applyAlignment="1" applyBorder="1" applyFill="1" applyFont="1">
      <alignment horizontal="center" readingOrder="0" vertical="center"/>
    </xf>
    <xf borderId="0" fillId="0" fontId="13" numFmtId="0" xfId="0" applyAlignment="1" applyFont="1">
      <alignment readingOrder="0" shrinkToFit="0" vertical="center" wrapText="1"/>
    </xf>
    <xf borderId="26" fillId="6" fontId="11" numFmtId="0" xfId="0" applyAlignment="1" applyBorder="1" applyFill="1" applyFont="1">
      <alignment readingOrder="0" vertical="center"/>
    </xf>
    <xf borderId="20" fillId="5" fontId="12" numFmtId="0" xfId="0" applyAlignment="1" applyBorder="1" applyFill="1" applyFont="1">
      <alignment horizontal="center" readingOrder="0" vertical="center"/>
    </xf>
    <xf borderId="26" fillId="6" fontId="14" numFmtId="0" xfId="0" applyAlignment="1" applyBorder="1" applyFill="1" applyFont="1">
      <alignment readingOrder="0" shrinkToFit="0" vertical="center" wrapText="1"/>
    </xf>
    <xf borderId="26" fillId="0" fontId="11" numFmtId="0" xfId="0" applyAlignment="1" applyBorder="1" applyFont="1">
      <alignment readingOrder="0" shrinkToFit="0" vertical="center" wrapText="1"/>
    </xf>
    <xf borderId="26" fillId="0" fontId="11" numFmtId="0" xfId="0" applyAlignment="1" applyBorder="1" applyFont="1">
      <alignment readingOrder="0" vertical="center"/>
    </xf>
    <xf borderId="26" fillId="0" fontId="11" numFmtId="166" xfId="0" applyAlignment="1" applyBorder="1" applyFont="1" applyNumberFormat="1">
      <alignment readingOrder="0" vertical="center"/>
    </xf>
    <xf borderId="26" fillId="0" fontId="11" numFmtId="167" xfId="0" applyAlignment="1" applyBorder="1" applyFont="1" applyNumberFormat="1">
      <alignment horizontal="center" readingOrder="0" vertical="center"/>
    </xf>
    <xf borderId="26" fillId="0" fontId="11" numFmtId="168" xfId="0" applyAlignment="1" applyBorder="1" applyFont="1" applyNumberFormat="1">
      <alignment horizontal="right" readingOrder="0" vertical="center"/>
    </xf>
    <xf borderId="26" fillId="0" fontId="11" numFmtId="3" xfId="0" applyAlignment="1" applyBorder="1" applyFont="1" applyNumberFormat="1">
      <alignment horizontal="right" readingOrder="0" vertical="center"/>
    </xf>
    <xf borderId="27" fillId="0" fontId="11" numFmtId="0" xfId="0" applyAlignment="1" applyBorder="1" applyFont="1">
      <alignment readingOrder="0" vertical="center"/>
    </xf>
    <xf borderId="0" fillId="0" fontId="1" numFmtId="0" xfId="0" applyAlignment="1" applyFont="1">
      <alignment vertical="top"/>
    </xf>
    <xf borderId="0" fillId="0" fontId="13" numFmtId="0" xfId="0" applyAlignment="1" applyFont="1">
      <alignment readingOrder="0" shrinkToFit="0" wrapText="1"/>
    </xf>
    <xf borderId="26" fillId="0" fontId="11" numFmtId="167" xfId="0" applyAlignment="1" applyBorder="1" applyFont="1" applyNumberFormat="1">
      <alignment horizontal="right" readingOrder="0" vertical="center"/>
    </xf>
    <xf borderId="0" fillId="7" fontId="15" numFmtId="0" xfId="0" applyAlignment="1" applyFill="1" applyFont="1">
      <alignment readingOrder="0" shrinkToFit="0" vertical="top" wrapText="1"/>
    </xf>
    <xf borderId="0" fillId="0" fontId="16" numFmtId="0" xfId="0" applyAlignment="1" applyFont="1">
      <alignment readingOrder="0" shrinkToFit="0" vertical="top" wrapText="1"/>
    </xf>
    <xf borderId="28" fillId="7" fontId="11" numFmtId="0" xfId="0" applyAlignment="1" applyBorder="1" applyFill="1" applyFont="1">
      <alignment readingOrder="0" shrinkToFit="0" vertical="top" wrapText="1"/>
    </xf>
    <xf borderId="28" fillId="0" fontId="17" numFmtId="0" xfId="0" applyAlignment="1" applyBorder="1" applyFont="1">
      <alignment readingOrder="0" shrinkToFit="0" vertical="top" wrapText="1"/>
    </xf>
    <xf borderId="28" fillId="0" fontId="11" numFmtId="0" xfId="0" applyAlignment="1" applyBorder="1" applyFont="1">
      <alignment readingOrder="0" shrinkToFit="0" vertical="top" wrapText="1"/>
    </xf>
    <xf borderId="29" fillId="0" fontId="11" numFmtId="0" xfId="0" applyAlignment="1" applyBorder="1" applyFont="1">
      <alignment horizontal="center" readingOrder="0" shrinkToFit="0" vertical="center" wrapText="1"/>
    </xf>
    <xf borderId="28" fillId="0" fontId="11" numFmtId="0" xfId="0" applyAlignment="1" applyBorder="1" applyFont="1">
      <alignment readingOrder="0" vertical="top"/>
    </xf>
    <xf borderId="28" fillId="0" fontId="11" numFmtId="0" xfId="0" applyAlignment="1" applyBorder="1" applyFont="1">
      <alignment readingOrder="0" shrinkToFit="0" vertical="center" wrapText="1"/>
    </xf>
    <xf borderId="28" fillId="7" fontId="11" numFmtId="0" xfId="0" applyAlignment="1" applyBorder="1" applyFill="1" applyFont="1">
      <alignment readingOrder="0" shrinkToFit="0" vertical="center" wrapText="1"/>
    </xf>
    <xf borderId="28" fillId="0" fontId="11" numFmtId="167" xfId="0" applyAlignment="1" applyBorder="1" applyFont="1" applyNumberFormat="1">
      <alignment horizontal="center" readingOrder="0" vertical="top"/>
    </xf>
    <xf borderId="28" fillId="0" fontId="11" numFmtId="166" xfId="0" applyAlignment="1" applyBorder="1" applyFont="1" applyNumberFormat="1">
      <alignment readingOrder="0" vertical="center"/>
    </xf>
    <xf borderId="28" fillId="0" fontId="11" numFmtId="168" xfId="0" applyAlignment="1" applyBorder="1" applyFont="1" applyNumberFormat="1">
      <alignment horizontal="right" readingOrder="0" vertical="top"/>
    </xf>
    <xf borderId="28" fillId="0" fontId="11" numFmtId="0" xfId="0" applyAlignment="1" applyBorder="1" applyFont="1">
      <alignment readingOrder="0" vertical="center"/>
    </xf>
    <xf borderId="30" fillId="0" fontId="11" numFmtId="0" xfId="0" applyAlignment="1" applyBorder="1" applyFont="1">
      <alignment readingOrder="0" vertical="top"/>
    </xf>
    <xf borderId="28" fillId="0" fontId="11" numFmtId="3" xfId="0" applyAlignment="1" applyBorder="1" applyFont="1" applyNumberFormat="1">
      <alignment horizontal="right" readingOrder="0" vertical="center"/>
    </xf>
    <xf borderId="28" fillId="7" fontId="11" numFmtId="0" xfId="0" applyAlignment="1" applyBorder="1" applyFill="1" applyFont="1">
      <alignment shrinkToFit="0" vertical="center" wrapText="1"/>
    </xf>
    <xf borderId="28" fillId="0" fontId="11" numFmtId="168" xfId="0" applyAlignment="1" applyBorder="1" applyFont="1" applyNumberFormat="1">
      <alignment horizontal="right" readingOrder="0" vertical="center"/>
    </xf>
    <xf borderId="28" fillId="0" fontId="11" numFmtId="0" xfId="0" applyAlignment="1" applyBorder="1" applyFont="1">
      <alignment vertical="center"/>
    </xf>
    <xf borderId="28" fillId="0" fontId="11" numFmtId="168" xfId="0" applyAlignment="1" applyBorder="1" applyFont="1" applyNumberFormat="1">
      <alignment readingOrder="0" vertical="center"/>
    </xf>
    <xf borderId="28" fillId="0" fontId="11" numFmtId="167" xfId="0" applyAlignment="1" applyBorder="1" applyFont="1" applyNumberFormat="1">
      <alignment horizontal="center" readingOrder="0" vertical="center"/>
    </xf>
    <xf borderId="30" fillId="0" fontId="11" numFmtId="0" xfId="0" applyAlignment="1" applyBorder="1" applyFont="1">
      <alignment readingOrder="0" vertical="center"/>
    </xf>
    <xf borderId="30" fillId="0" fontId="11" numFmtId="0" xfId="0" applyAlignment="1" applyBorder="1" applyFont="1">
      <alignment vertical="center"/>
    </xf>
    <xf borderId="28" fillId="0" fontId="11" numFmtId="0" xfId="0" applyAlignment="1" applyBorder="1" applyFont="1">
      <alignment shrinkToFit="0" vertical="center" wrapText="1"/>
    </xf>
    <xf borderId="28" fillId="0" fontId="11" numFmtId="166" xfId="0" applyAlignment="1" applyBorder="1" applyFont="1" applyNumberFormat="1">
      <alignment horizontal="left" readingOrder="0" vertical="center"/>
    </xf>
    <xf borderId="28" fillId="0" fontId="11" numFmtId="168" xfId="0" applyAlignment="1" applyBorder="1" applyFont="1" applyNumberFormat="1">
      <alignment horizontal="right" vertical="center"/>
    </xf>
    <xf borderId="28" fillId="0" fontId="11" numFmtId="168" xfId="0" applyAlignment="1" applyBorder="1" applyFont="1" applyNumberFormat="1">
      <alignment vertical="center"/>
    </xf>
    <xf borderId="28" fillId="6" fontId="11" numFmtId="0" xfId="0" applyAlignment="1" applyBorder="1" applyFill="1" applyFont="1">
      <alignment horizontal="center" readingOrder="0" shrinkToFit="0" vertical="center" wrapText="1"/>
    </xf>
    <xf borderId="28" fillId="0" fontId="11" numFmtId="166" xfId="0" applyAlignment="1" applyBorder="1" applyFont="1" applyNumberFormat="1">
      <alignment vertical="center"/>
    </xf>
    <xf borderId="0" fillId="0" fontId="1" numFmtId="0" xfId="0" applyAlignment="1" applyFont="1">
      <alignment vertical="center"/>
    </xf>
    <xf borderId="0" fillId="0" fontId="18" numFmtId="0" xfId="0" applyAlignment="1" applyFont="1">
      <alignment readingOrder="0"/>
    </xf>
    <xf borderId="0" fillId="7" fontId="19" numFmtId="0" xfId="0" applyAlignment="1" applyFill="1" applyFont="1">
      <alignment horizontal="left" readingOrder="0" vertical="center"/>
    </xf>
    <xf borderId="0" fillId="0" fontId="18" numFmtId="166" xfId="0" applyAlignment="1" applyFont="1" applyNumberFormat="1">
      <alignment horizontal="left" readingOrder="0"/>
    </xf>
    <xf borderId="0" fillId="0" fontId="19" numFmtId="0" xfId="0" applyAlignment="1" applyFont="1">
      <alignment horizontal="left" readingOrder="0" vertical="center"/>
    </xf>
    <xf borderId="0" fillId="0" fontId="13" numFmtId="0" xfId="0" applyAlignment="1" applyFont="1">
      <alignment shrinkToFit="0" wrapText="1"/>
    </xf>
    <xf borderId="28" fillId="6" fontId="11" numFmtId="0" xfId="0" applyAlignment="1" applyBorder="1" applyFill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28" fillId="0" fontId="20" numFmtId="0" xfId="0" applyAlignment="1" applyBorder="1" applyFont="1">
      <alignment readingOrder="0" shrinkToFit="0" vertical="center" wrapText="1"/>
    </xf>
    <xf borderId="0" fillId="7" fontId="21" numFmtId="0" xfId="0" applyAlignment="1" applyFill="1" applyFont="1">
      <alignment horizontal="left" readingOrder="0" vertical="center"/>
    </xf>
    <xf borderId="28" fillId="0" fontId="22" numFmtId="0" xfId="0" applyAlignment="1" applyBorder="1" applyFont="1">
      <alignment readingOrder="0" shrinkToFit="0" vertical="center" wrapText="1"/>
    </xf>
    <xf borderId="0" fillId="7" fontId="23" numFmtId="0" xfId="0" applyAlignment="1" applyFill="1" applyFont="1">
      <alignment readingOrder="0" vertical="center"/>
    </xf>
    <xf borderId="0" fillId="0" fontId="13" numFmtId="0" xfId="0" applyAlignment="1" applyFont="1">
      <alignment horizontal="left" readingOrder="0" vertical="center"/>
    </xf>
    <xf borderId="0" fillId="7" fontId="24" numFmtId="0" xfId="0" applyAlignment="1" applyFill="1" applyFont="1">
      <alignment readingOrder="0" vertical="center"/>
    </xf>
    <xf borderId="0" fillId="7" fontId="25" numFmtId="166" xfId="0" applyAlignment="1" applyFill="1" applyFont="1" applyNumberFormat="1">
      <alignment readingOrder="0" shrinkToFit="0" wrapText="1"/>
    </xf>
    <xf borderId="29" fillId="0" fontId="11" numFmtId="0" xfId="0" applyAlignment="1" applyBorder="1" applyFont="1">
      <alignment horizontal="left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28" fillId="0" fontId="11" numFmtId="167" xfId="0" applyAlignment="1" applyBorder="1" applyFont="1" applyNumberFormat="1">
      <alignment horizontal="center" vertical="center"/>
    </xf>
    <xf borderId="0" fillId="7" fontId="19" numFmtId="0" xfId="0" applyAlignment="1" applyFill="1" applyFont="1">
      <alignment horizontal="left" readingOrder="0" shrinkToFit="0" vertical="center" wrapText="1"/>
    </xf>
    <xf borderId="0" fillId="0" fontId="11" numFmtId="0" xfId="0" applyAlignment="1" applyFont="1">
      <alignment horizontal="center" vertical="center"/>
    </xf>
    <xf borderId="29" fillId="0" fontId="11" numFmtId="0" xfId="0" applyAlignment="1" applyBorder="1" applyFont="1">
      <alignment horizontal="center" shrinkToFit="0" vertical="center" wrapText="1"/>
    </xf>
    <xf borderId="0" fillId="7" fontId="19" numFmtId="0" xfId="0" applyAlignment="1" applyFill="1" applyFont="1">
      <alignment horizontal="left" readingOrder="0"/>
    </xf>
    <xf borderId="0" fillId="0" fontId="13" numFmtId="0" xfId="0" applyAlignment="1" applyFont="1">
      <alignment readingOrder="0"/>
    </xf>
    <xf borderId="0" fillId="0" fontId="18" numFmtId="0" xfId="0" applyAlignment="1" applyFont="1">
      <alignment horizontal="left" readingOrder="0"/>
    </xf>
    <xf borderId="0" fillId="0" fontId="18" numFmtId="0" xfId="0" applyAlignment="1" applyFont="1">
      <alignment horizontal="right" readingOrder="0"/>
    </xf>
    <xf borderId="31" fillId="0" fontId="11" numFmtId="0" xfId="0" applyAlignment="1" applyBorder="1" applyFont="1">
      <alignment horizontal="center" shrinkToFit="0" vertical="center" wrapText="1"/>
    </xf>
    <xf borderId="32" fillId="0" fontId="11" numFmtId="0" xfId="0" applyAlignment="1" applyBorder="1" applyFont="1">
      <alignment vertical="center"/>
    </xf>
    <xf borderId="32" fillId="0" fontId="11" numFmtId="0" xfId="0" applyAlignment="1" applyBorder="1" applyFont="1">
      <alignment shrinkToFit="0" vertical="center" wrapText="1"/>
    </xf>
    <xf borderId="32" fillId="0" fontId="11" numFmtId="167" xfId="0" applyAlignment="1" applyBorder="1" applyFont="1" applyNumberFormat="1">
      <alignment horizontal="center" vertical="center"/>
    </xf>
    <xf borderId="32" fillId="0" fontId="11" numFmtId="168" xfId="0" applyAlignment="1" applyBorder="1" applyFont="1" applyNumberFormat="1">
      <alignment horizontal="right" vertical="center"/>
    </xf>
    <xf borderId="33" fillId="0" fontId="11" numFmtId="0" xfId="0" applyAlignment="1" applyBorder="1" applyFont="1">
      <alignment vertical="center"/>
    </xf>
    <xf borderId="0" fillId="7" fontId="19" numFmtId="0" xfId="0" applyAlignment="1" applyFill="1" applyFont="1">
      <alignment horizontal="left" readingOrder="0" vertical="top"/>
    </xf>
    <xf borderId="0" fillId="0" fontId="19" numFmtId="0" xfId="0" applyAlignment="1" applyFont="1">
      <alignment horizontal="left" readingOrder="0" shrinkToFit="0" wrapText="1"/>
    </xf>
    <xf borderId="0" fillId="7" fontId="19" numFmtId="0" xfId="0" applyAlignment="1" applyFill="1" applyFont="1">
      <alignment horizontal="left" readingOrder="0" shrinkToFit="0" wrapText="1"/>
    </xf>
    <xf borderId="28" fillId="0" fontId="11" numFmtId="3" xfId="0" applyAlignment="1" applyBorder="1" applyFont="1" applyNumberFormat="1">
      <alignment horizontal="right" vertical="center"/>
    </xf>
    <xf borderId="32" fillId="0" fontId="11" numFmtId="0" xfId="0" applyAlignment="1" applyBorder="1" applyFont="1">
      <alignment readingOrder="0" vertical="center"/>
    </xf>
    <xf borderId="32" fillId="0" fontId="11" numFmtId="166" xfId="0" applyAlignment="1" applyBorder="1" applyFont="1" applyNumberFormat="1">
      <alignment horizontal="left" readingOrder="0" vertical="center"/>
    </xf>
    <xf borderId="32" fillId="0" fontId="11" numFmtId="3" xfId="0" applyAlignment="1" applyBorder="1" applyFont="1" applyNumberFormat="1">
      <alignment horizontal="right" readingOrder="0" vertical="center"/>
    </xf>
    <xf borderId="32" fillId="0" fontId="11" numFmtId="168" xfId="0" applyAlignment="1" applyBorder="1" applyFont="1" applyNumberFormat="1">
      <alignment vertical="center"/>
    </xf>
    <xf borderId="0" fillId="0" fontId="13" numFmtId="0" xfId="0" applyAlignment="1" applyFont="1">
      <alignment readingOrder="0" vertical="center"/>
    </xf>
    <xf borderId="0" fillId="0" fontId="11" numFmtId="0" xfId="0" applyAlignment="1" applyFont="1">
      <alignment horizontal="right" readingOrder="0" vertical="center"/>
    </xf>
    <xf borderId="0" fillId="0" fontId="1" numFmtId="0" xfId="0" applyAlignment="1" applyFont="1">
      <alignment readingOrder="0" vertical="center"/>
    </xf>
    <xf borderId="0" fillId="7" fontId="26" numFmtId="0" xfId="0" applyAlignment="1" applyFill="1" applyFont="1">
      <alignment horizontal="left" readingOrder="0"/>
    </xf>
    <xf borderId="0" fillId="7" fontId="27" numFmtId="0" xfId="0" applyAlignment="1" applyFill="1" applyFont="1">
      <alignment horizontal="left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7FAF1"/>
          <bgColor rgb="FFF7FA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Khảo sát Chủ Sân-style">
      <tableStyleElement dxfId="1" type="firstRowStripe"/>
      <tableStyleElement dxfId="2" type="secondRowStripe"/>
    </tableStyle>
    <tableStyle count="2" pivot="0" name="Khảo sát BTC Giải Đấu-style">
      <tableStyleElement dxfId="1" type="firstRowStripe"/>
      <tableStyleElement dxfId="2" type="secondRowStripe"/>
    </tableStyle>
    <tableStyle count="2" pivot="0" name="Khảo sát Chủ Sân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8:AA5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Khảo sát Chủ Sân-style" showColumnStripes="0" showFirstColumn="1" showLastColumn="1" showRowStripes="1"/>
</table>
</file>

<file path=xl/tables/table2.xml><?xml version="1.0" encoding="utf-8"?>
<table xmlns="http://schemas.openxmlformats.org/spreadsheetml/2006/main" headerRowCount="0" ref="K51:M57" displayName="Table_3" name="Table_3" id="3">
  <tableColumns count="3">
    <tableColumn name="Column1" id="1"/>
    <tableColumn name="Column2" id="2"/>
    <tableColumn name="Column3" id="3"/>
  </tableColumns>
  <tableStyleInfo name="Khảo sát Chủ Sân-style 2" showColumnStripes="0" showFirstColumn="1" showLastColumn="1" showRowStripes="1"/>
</table>
</file>

<file path=xl/tables/table3.xml><?xml version="1.0" encoding="utf-8"?>
<table xmlns="http://schemas.openxmlformats.org/spreadsheetml/2006/main" headerRowCount="0" ref="B8:U50" displayName="Table_2" name="Table_2" id="2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Khảo sát BTC Giải Đấ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profile.php?id=61566969656498&amp;__cft__%5B0%5D=AZjURZeb9cZjcG-u9Z47Mlnf20cD3BB8zm0T-Js6a-BIGDIEposiEmGZN3A-2SgL6Gk4D6I1gbqQP3yaeuzB6qqZftHI5i-kDB42FpHG7QdSd3zLDDseORSYb1l95HqFgAkZxp6ZQYwl3Exl&amp;__tn__=-UC%2CP-R" TargetMode="External"/><Relationship Id="rId2" Type="http://schemas.openxmlformats.org/officeDocument/2006/relationships/hyperlink" Target="https://www.facebook.com/FUBadmintonClubDN" TargetMode="External"/><Relationship Id="rId3" Type="http://schemas.openxmlformats.org/officeDocument/2006/relationships/hyperlink" Target="https://www.facebook.com/FUBadmintonClubDN" TargetMode="External"/><Relationship Id="rId4" Type="http://schemas.openxmlformats.org/officeDocument/2006/relationships/hyperlink" Target="https://www.facebook.com/FUBadmintonClubDN" TargetMode="External"/><Relationship Id="rId5" Type="http://schemas.openxmlformats.org/officeDocument/2006/relationships/hyperlink" Target="http://vbf.vn/" TargetMode="External"/><Relationship Id="rId6" Type="http://schemas.openxmlformats.org/officeDocument/2006/relationships/drawing" Target="../drawings/drawing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3.88"/>
    <col customWidth="1" min="2" max="2" width="10.13"/>
    <col customWidth="1" min="3" max="3" width="36.0"/>
    <col customWidth="1" min="4" max="4" width="17.63"/>
    <col customWidth="1" min="5" max="5" width="58.38"/>
    <col customWidth="1" min="6" max="6" width="20.13"/>
    <col customWidth="1" min="7" max="7" width="15.13"/>
    <col customWidth="1" min="8" max="8" width="18.88"/>
    <col customWidth="1" min="9" max="9" width="16.38"/>
    <col customWidth="1" min="10" max="10" width="20.13"/>
    <col customWidth="1" min="11" max="11" width="12.63"/>
    <col customWidth="1" min="12" max="13" width="15.13"/>
    <col customWidth="1" min="14" max="14" width="20.13"/>
    <col customWidth="1" min="15" max="15" width="25.13"/>
    <col customWidth="1" min="16" max="16" width="31.38"/>
    <col customWidth="1" min="17" max="17" width="17.63"/>
    <col customWidth="1" min="18" max="19" width="16.38"/>
    <col customWidth="1" min="20" max="20" width="27.63"/>
    <col customWidth="1" min="21" max="21" width="30.13"/>
    <col customWidth="1" min="22" max="22" width="22.63"/>
    <col customWidth="1" min="23" max="23" width="27.63"/>
    <col customWidth="1" min="24" max="24" width="22.63"/>
    <col customWidth="1" min="25" max="25" width="20.13"/>
    <col customWidth="1" min="26" max="26" width="32.63"/>
    <col customWidth="1" min="27" max="27" width="25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5.5" customHeight="1">
      <c r="A2" s="1"/>
      <c r="B2" s="8" t="s">
        <v>1</v>
      </c>
      <c r="C2" s="5"/>
      <c r="D2" s="5"/>
      <c r="E2" s="6"/>
      <c r="F2" s="7" t="s">
        <v>5</v>
      </c>
      <c r="G2" s="9" t="s">
        <v>6</v>
      </c>
      <c r="H2" s="9" t="s">
        <v>7</v>
      </c>
      <c r="I2" s="10" t="s">
        <v>9</v>
      </c>
      <c r="J2" s="1"/>
      <c r="K2" s="1"/>
      <c r="L2" s="1"/>
      <c r="M2" s="1"/>
      <c r="N2" s="1"/>
      <c r="O2" s="2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2" t="s">
        <v>10</v>
      </c>
      <c r="C3" s="13"/>
      <c r="D3" s="13"/>
      <c r="E3" s="14"/>
      <c r="F3" s="15">
        <f>COUNTA(B8:B1000)</f>
        <v>50</v>
      </c>
      <c r="G3" s="16">
        <f>COUNTIF(J8:J1000, "*Pickleball*")</f>
        <v>3</v>
      </c>
      <c r="H3" s="16">
        <f>COUNTIF(J8:J1000, "*Cầu lông*")</f>
        <v>50</v>
      </c>
      <c r="I3" s="28">
        <f>IF(COUNTA(B8:B1000)=0, 0, (COUNTIF(V8:V1000, "*Rất sẵn sàng*") + COUNTIF(V8:V1000, "*Quan tâm*")) / COUNTA(B8:B1000))</f>
        <v>0</v>
      </c>
      <c r="J3" s="1"/>
      <c r="K3" s="1"/>
      <c r="L3" s="1"/>
      <c r="M3" s="1"/>
      <c r="N3" s="1"/>
      <c r="O3" s="2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8" t="s">
        <v>17</v>
      </c>
      <c r="F4" s="19" t="s">
        <v>19</v>
      </c>
      <c r="G4" s="20" t="s">
        <v>20</v>
      </c>
      <c r="H4" s="20" t="s">
        <v>22</v>
      </c>
      <c r="I4" s="21" t="s">
        <v>23</v>
      </c>
      <c r="J4" s="1"/>
      <c r="K4" s="1"/>
      <c r="L4" s="1"/>
      <c r="M4" s="1"/>
      <c r="N4" s="1"/>
      <c r="O4" s="2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23"/>
      <c r="C5" s="24"/>
      <c r="D5" s="25"/>
      <c r="E5" s="25"/>
      <c r="F5" s="26"/>
      <c r="G5" s="1"/>
      <c r="H5" s="1"/>
      <c r="I5" s="1"/>
      <c r="J5" s="1"/>
      <c r="K5" s="1"/>
      <c r="L5" s="1"/>
      <c r="M5" s="1"/>
      <c r="N5" s="1"/>
      <c r="O5" s="2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21.0" customHeight="1">
      <c r="A6" s="1"/>
      <c r="B6" s="38" t="s">
        <v>44</v>
      </c>
      <c r="C6" s="30"/>
      <c r="D6" s="30"/>
      <c r="E6" s="30"/>
      <c r="F6" s="30"/>
      <c r="G6" s="30"/>
      <c r="H6" s="30"/>
      <c r="I6" s="31"/>
      <c r="J6" s="41" t="s">
        <v>49</v>
      </c>
      <c r="K6" s="30"/>
      <c r="L6" s="30"/>
      <c r="M6" s="30"/>
      <c r="N6" s="30"/>
      <c r="O6" s="30"/>
      <c r="P6" s="31"/>
      <c r="Q6" s="41" t="s">
        <v>51</v>
      </c>
      <c r="R6" s="30"/>
      <c r="S6" s="30"/>
      <c r="T6" s="30"/>
      <c r="U6" s="31"/>
      <c r="V6" s="41" t="s">
        <v>52</v>
      </c>
      <c r="W6" s="30"/>
      <c r="X6" s="30"/>
      <c r="Y6" s="30"/>
      <c r="Z6" s="30"/>
      <c r="AA6" s="33"/>
    </row>
    <row r="7" ht="25.5" customHeight="1">
      <c r="A7" s="1"/>
      <c r="B7" s="34" t="s">
        <v>53</v>
      </c>
      <c r="C7" s="35" t="s">
        <v>54</v>
      </c>
      <c r="D7" s="35" t="s">
        <v>55</v>
      </c>
      <c r="E7" s="35" t="s">
        <v>56</v>
      </c>
      <c r="F7" s="35" t="s">
        <v>57</v>
      </c>
      <c r="G7" s="35" t="s">
        <v>28</v>
      </c>
      <c r="H7" s="35" t="s">
        <v>58</v>
      </c>
      <c r="I7" s="35" t="s">
        <v>31</v>
      </c>
      <c r="J7" s="35" t="s">
        <v>59</v>
      </c>
      <c r="K7" s="35" t="s">
        <v>60</v>
      </c>
      <c r="L7" s="35" t="s">
        <v>61</v>
      </c>
      <c r="M7" s="35" t="s">
        <v>62</v>
      </c>
      <c r="N7" s="35" t="s">
        <v>63</v>
      </c>
      <c r="O7" s="35" t="s">
        <v>64</v>
      </c>
      <c r="P7" s="35" t="s">
        <v>65</v>
      </c>
      <c r="Q7" s="35" t="s">
        <v>66</v>
      </c>
      <c r="R7" s="35" t="s">
        <v>67</v>
      </c>
      <c r="S7" s="35" t="s">
        <v>68</v>
      </c>
      <c r="T7" s="35" t="s">
        <v>69</v>
      </c>
      <c r="U7" s="35" t="s">
        <v>70</v>
      </c>
      <c r="V7" s="35" t="s">
        <v>41</v>
      </c>
      <c r="W7" s="35" t="s">
        <v>72</v>
      </c>
      <c r="X7" s="35" t="s">
        <v>73</v>
      </c>
      <c r="Y7" s="35" t="s">
        <v>74</v>
      </c>
      <c r="Z7" s="35" t="s">
        <v>40</v>
      </c>
      <c r="AA7" s="36" t="s">
        <v>76</v>
      </c>
    </row>
    <row r="8">
      <c r="A8" s="1"/>
      <c r="B8" s="37" t="s">
        <v>77</v>
      </c>
      <c r="C8" s="40" t="s">
        <v>78</v>
      </c>
      <c r="D8" s="40" t="s">
        <v>79</v>
      </c>
      <c r="E8" s="40" t="s">
        <v>80</v>
      </c>
      <c r="F8" s="40"/>
      <c r="G8" s="45" t="s">
        <v>81</v>
      </c>
      <c r="H8" s="44" t="s">
        <v>88</v>
      </c>
      <c r="I8" s="44" t="s">
        <v>75</v>
      </c>
      <c r="J8" s="44" t="s">
        <v>82</v>
      </c>
      <c r="K8" s="48">
        <v>3.0</v>
      </c>
      <c r="L8" s="48">
        <v>0.0</v>
      </c>
      <c r="M8" s="48">
        <v>3.0</v>
      </c>
      <c r="N8" s="44" t="s">
        <v>94</v>
      </c>
      <c r="O8" s="43" t="s">
        <v>97</v>
      </c>
      <c r="P8" s="44"/>
      <c r="Q8" s="52" t="s">
        <v>98</v>
      </c>
      <c r="R8" s="47">
        <v>60000.0</v>
      </c>
      <c r="S8" s="47">
        <v>80000.0</v>
      </c>
      <c r="T8" s="44" t="s">
        <v>100</v>
      </c>
      <c r="U8" s="44"/>
      <c r="V8" s="44"/>
      <c r="W8" s="44"/>
      <c r="X8" s="44" t="s">
        <v>102</v>
      </c>
      <c r="Y8" s="44"/>
      <c r="Z8" s="44"/>
      <c r="AA8" s="49"/>
    </row>
    <row r="9">
      <c r="A9" s="1"/>
      <c r="B9" s="58" t="s">
        <v>105</v>
      </c>
      <c r="C9" s="60" t="s">
        <v>106</v>
      </c>
      <c r="D9" s="40" t="s">
        <v>79</v>
      </c>
      <c r="E9" s="61" t="s">
        <v>110</v>
      </c>
      <c r="F9" s="60"/>
      <c r="G9" s="63"/>
      <c r="H9" s="65" t="s">
        <v>88</v>
      </c>
      <c r="I9" s="44" t="s">
        <v>75</v>
      </c>
      <c r="J9" s="65" t="s">
        <v>82</v>
      </c>
      <c r="K9" s="67">
        <v>4.0</v>
      </c>
      <c r="L9" s="67">
        <v>0.0</v>
      </c>
      <c r="M9" s="67">
        <v>4.0</v>
      </c>
      <c r="N9" s="65" t="s">
        <v>94</v>
      </c>
      <c r="O9" s="43" t="s">
        <v>116</v>
      </c>
      <c r="P9" s="65"/>
      <c r="Q9" s="52" t="s">
        <v>118</v>
      </c>
      <c r="R9" s="69"/>
      <c r="S9" s="71"/>
      <c r="T9" s="44" t="s">
        <v>100</v>
      </c>
      <c r="U9" s="65"/>
      <c r="V9" s="65"/>
      <c r="W9" s="65"/>
      <c r="X9" s="44" t="s">
        <v>102</v>
      </c>
      <c r="Y9" s="65"/>
      <c r="Z9" s="65"/>
      <c r="AA9" s="73"/>
    </row>
    <row r="10">
      <c r="A10" s="1"/>
      <c r="B10" s="58" t="s">
        <v>127</v>
      </c>
      <c r="C10" s="60" t="s">
        <v>128</v>
      </c>
      <c r="D10" s="40" t="s">
        <v>79</v>
      </c>
      <c r="E10" s="61" t="s">
        <v>129</v>
      </c>
      <c r="F10" s="75"/>
      <c r="G10" s="76">
        <v>9.06507564E8</v>
      </c>
      <c r="H10" s="65" t="s">
        <v>88</v>
      </c>
      <c r="I10" s="44" t="s">
        <v>75</v>
      </c>
      <c r="J10" s="65" t="s">
        <v>82</v>
      </c>
      <c r="K10" s="67">
        <v>6.0</v>
      </c>
      <c r="L10" s="67">
        <v>0.0</v>
      </c>
      <c r="M10" s="67">
        <v>6.0</v>
      </c>
      <c r="N10" s="65" t="s">
        <v>94</v>
      </c>
      <c r="O10" s="43" t="s">
        <v>116</v>
      </c>
      <c r="P10" s="70"/>
      <c r="Q10" s="52" t="s">
        <v>98</v>
      </c>
      <c r="R10" s="77"/>
      <c r="S10" s="78"/>
      <c r="T10" s="44" t="s">
        <v>100</v>
      </c>
      <c r="U10" s="70"/>
      <c r="V10" s="70"/>
      <c r="W10" s="70"/>
      <c r="X10" s="44" t="s">
        <v>138</v>
      </c>
      <c r="Y10" s="70"/>
      <c r="Z10" s="70"/>
      <c r="AA10" s="74"/>
    </row>
    <row r="11">
      <c r="A11" s="1"/>
      <c r="B11" s="58" t="s">
        <v>141</v>
      </c>
      <c r="C11" s="60" t="s">
        <v>143</v>
      </c>
      <c r="D11" s="40" t="s">
        <v>79</v>
      </c>
      <c r="E11" s="61" t="s">
        <v>145</v>
      </c>
      <c r="F11" s="75"/>
      <c r="G11" s="80"/>
      <c r="H11" s="65" t="s">
        <v>88</v>
      </c>
      <c r="I11" s="44" t="s">
        <v>75</v>
      </c>
      <c r="J11" s="65" t="s">
        <v>82</v>
      </c>
      <c r="K11" s="67">
        <v>2.0</v>
      </c>
      <c r="L11" s="67">
        <v>0.0</v>
      </c>
      <c r="M11" s="67">
        <v>2.0</v>
      </c>
      <c r="N11" s="65" t="s">
        <v>94</v>
      </c>
      <c r="O11" s="43" t="s">
        <v>116</v>
      </c>
      <c r="P11" s="70"/>
      <c r="Q11" s="52" t="s">
        <v>118</v>
      </c>
      <c r="R11" s="77"/>
      <c r="S11" s="78"/>
      <c r="T11" s="44" t="s">
        <v>100</v>
      </c>
      <c r="U11" s="70"/>
      <c r="V11" s="70"/>
      <c r="W11" s="70"/>
      <c r="X11" s="44" t="s">
        <v>138</v>
      </c>
      <c r="Y11" s="70"/>
      <c r="Z11" s="70"/>
      <c r="AA11" s="74"/>
    </row>
    <row r="12">
      <c r="A12" s="1"/>
      <c r="B12" s="58" t="s">
        <v>155</v>
      </c>
      <c r="C12" s="83" t="s">
        <v>156</v>
      </c>
      <c r="D12" s="40" t="s">
        <v>79</v>
      </c>
      <c r="E12" s="61" t="s">
        <v>159</v>
      </c>
      <c r="F12" s="75"/>
      <c r="G12" s="76">
        <v>3.96665599E8</v>
      </c>
      <c r="H12" s="65" t="s">
        <v>88</v>
      </c>
      <c r="I12" s="44" t="s">
        <v>75</v>
      </c>
      <c r="J12" s="65" t="s">
        <v>82</v>
      </c>
      <c r="K12" s="67">
        <v>6.0</v>
      </c>
      <c r="L12" s="67">
        <v>0.0</v>
      </c>
      <c r="M12" s="67">
        <v>6.0</v>
      </c>
      <c r="N12" s="65" t="s">
        <v>94</v>
      </c>
      <c r="O12" s="43" t="s">
        <v>116</v>
      </c>
      <c r="P12" s="70"/>
      <c r="Q12" s="52" t="s">
        <v>98</v>
      </c>
      <c r="R12" s="77"/>
      <c r="S12" s="78"/>
      <c r="T12" s="44" t="s">
        <v>100</v>
      </c>
      <c r="U12" s="70"/>
      <c r="V12" s="70"/>
      <c r="W12" s="70"/>
      <c r="X12" s="44" t="s">
        <v>102</v>
      </c>
      <c r="Y12" s="70"/>
      <c r="Z12" s="70"/>
      <c r="AA12" s="74"/>
    </row>
    <row r="13">
      <c r="B13" s="58" t="s">
        <v>170</v>
      </c>
      <c r="C13" s="83" t="s">
        <v>171</v>
      </c>
      <c r="D13" s="82" t="s">
        <v>79</v>
      </c>
      <c r="E13" s="82" t="s">
        <v>172</v>
      </c>
      <c r="G13" s="82" t="s">
        <v>173</v>
      </c>
      <c r="H13" s="65" t="s">
        <v>88</v>
      </c>
      <c r="I13" s="44" t="s">
        <v>75</v>
      </c>
      <c r="J13" s="65" t="s">
        <v>82</v>
      </c>
      <c r="K13" s="82">
        <v>3.0</v>
      </c>
      <c r="L13" s="82">
        <v>0.0</v>
      </c>
      <c r="M13" s="82">
        <v>3.0</v>
      </c>
      <c r="N13" s="65" t="s">
        <v>94</v>
      </c>
      <c r="O13" s="43" t="s">
        <v>116</v>
      </c>
      <c r="Q13" s="52" t="s">
        <v>178</v>
      </c>
      <c r="T13" s="44" t="s">
        <v>100</v>
      </c>
      <c r="X13" s="44" t="s">
        <v>102</v>
      </c>
    </row>
    <row r="14">
      <c r="A14" s="1"/>
      <c r="B14" s="58" t="s">
        <v>179</v>
      </c>
      <c r="C14" s="83" t="s">
        <v>180</v>
      </c>
      <c r="D14" s="40" t="s">
        <v>79</v>
      </c>
      <c r="E14" s="61" t="s">
        <v>182</v>
      </c>
      <c r="F14" s="75"/>
      <c r="G14" s="84">
        <v>9.81086979E8</v>
      </c>
      <c r="H14" s="65" t="s">
        <v>88</v>
      </c>
      <c r="I14" s="44" t="s">
        <v>75</v>
      </c>
      <c r="J14" s="65" t="s">
        <v>82</v>
      </c>
      <c r="K14" s="67">
        <v>4.0</v>
      </c>
      <c r="L14" s="67">
        <v>0.0</v>
      </c>
      <c r="M14" s="67">
        <v>4.0</v>
      </c>
      <c r="N14" s="65" t="s">
        <v>94</v>
      </c>
      <c r="O14" s="43" t="s">
        <v>116</v>
      </c>
      <c r="P14" s="70"/>
      <c r="Q14" s="52" t="s">
        <v>98</v>
      </c>
      <c r="R14" s="77"/>
      <c r="S14" s="78"/>
      <c r="T14" s="44" t="s">
        <v>100</v>
      </c>
      <c r="U14" s="70"/>
      <c r="V14" s="70"/>
      <c r="W14" s="70"/>
      <c r="X14" s="44" t="s">
        <v>102</v>
      </c>
      <c r="Y14" s="70"/>
      <c r="Z14" s="70"/>
      <c r="AA14" s="74"/>
    </row>
    <row r="15">
      <c r="B15" s="58" t="s">
        <v>191</v>
      </c>
      <c r="C15" s="83" t="s">
        <v>193</v>
      </c>
      <c r="D15" s="40" t="s">
        <v>79</v>
      </c>
      <c r="E15" s="82" t="s">
        <v>196</v>
      </c>
      <c r="G15" s="82" t="s">
        <v>198</v>
      </c>
      <c r="H15" s="65" t="s">
        <v>88</v>
      </c>
      <c r="I15" s="44" t="s">
        <v>75</v>
      </c>
      <c r="J15" s="65" t="s">
        <v>82</v>
      </c>
      <c r="K15" s="82">
        <v>3.0</v>
      </c>
      <c r="L15" s="82">
        <v>0.0</v>
      </c>
      <c r="M15" s="82">
        <v>3.0</v>
      </c>
      <c r="N15" s="65" t="s">
        <v>94</v>
      </c>
      <c r="O15" s="43" t="s">
        <v>116</v>
      </c>
      <c r="Q15" s="52" t="s">
        <v>201</v>
      </c>
      <c r="T15" s="44" t="s">
        <v>100</v>
      </c>
      <c r="X15" s="44" t="s">
        <v>102</v>
      </c>
    </row>
    <row r="16">
      <c r="A16" s="1"/>
      <c r="B16" s="58" t="s">
        <v>203</v>
      </c>
      <c r="C16" s="85" t="s">
        <v>205</v>
      </c>
      <c r="D16" s="40" t="s">
        <v>79</v>
      </c>
      <c r="E16" s="87" t="s">
        <v>206</v>
      </c>
      <c r="F16" s="79"/>
      <c r="G16" s="76">
        <v>9.05403222E8</v>
      </c>
      <c r="H16" s="65" t="s">
        <v>88</v>
      </c>
      <c r="I16" s="44" t="s">
        <v>75</v>
      </c>
      <c r="J16" s="65" t="s">
        <v>82</v>
      </c>
      <c r="K16" s="67">
        <v>4.0</v>
      </c>
      <c r="L16" s="67">
        <v>0.0</v>
      </c>
      <c r="M16" s="67">
        <v>4.0</v>
      </c>
      <c r="N16" s="65" t="s">
        <v>94</v>
      </c>
      <c r="O16" s="43" t="s">
        <v>116</v>
      </c>
      <c r="P16" s="70"/>
      <c r="Q16" s="52" t="s">
        <v>98</v>
      </c>
      <c r="R16" s="77"/>
      <c r="S16" s="78"/>
      <c r="T16" s="44" t="s">
        <v>100</v>
      </c>
      <c r="U16" s="70"/>
      <c r="V16" s="70"/>
      <c r="W16" s="70"/>
      <c r="X16" s="44" t="s">
        <v>102</v>
      </c>
      <c r="Y16" s="70"/>
      <c r="Z16" s="70"/>
      <c r="AA16" s="74"/>
    </row>
    <row r="17">
      <c r="A17" s="1"/>
      <c r="B17" s="58" t="s">
        <v>212</v>
      </c>
      <c r="C17" s="90" t="s">
        <v>213</v>
      </c>
      <c r="D17" s="40" t="s">
        <v>79</v>
      </c>
      <c r="E17" s="61" t="s">
        <v>214</v>
      </c>
      <c r="F17" s="75"/>
      <c r="G17" s="63" t="s">
        <v>215</v>
      </c>
      <c r="H17" s="65" t="s">
        <v>88</v>
      </c>
      <c r="I17" s="44" t="s">
        <v>75</v>
      </c>
      <c r="J17" s="65" t="s">
        <v>82</v>
      </c>
      <c r="K17" s="67">
        <v>3.0</v>
      </c>
      <c r="L17" s="67">
        <v>0.0</v>
      </c>
      <c r="M17" s="67">
        <v>3.0</v>
      </c>
      <c r="N17" s="65" t="s">
        <v>94</v>
      </c>
      <c r="O17" s="43" t="s">
        <v>116</v>
      </c>
      <c r="P17" s="70"/>
      <c r="Q17" s="52" t="s">
        <v>118</v>
      </c>
      <c r="R17" s="77"/>
      <c r="S17" s="78"/>
      <c r="T17" s="44" t="s">
        <v>100</v>
      </c>
      <c r="U17" s="70"/>
      <c r="V17" s="70"/>
      <c r="W17" s="70"/>
      <c r="X17" s="44" t="s">
        <v>138</v>
      </c>
      <c r="Y17" s="70"/>
      <c r="Z17" s="70"/>
      <c r="AA17" s="74"/>
    </row>
    <row r="18">
      <c r="A18" s="1"/>
      <c r="B18" s="58" t="s">
        <v>217</v>
      </c>
      <c r="C18" s="92" t="s">
        <v>218</v>
      </c>
      <c r="D18" s="40" t="s">
        <v>79</v>
      </c>
      <c r="E18" s="61" t="s">
        <v>220</v>
      </c>
      <c r="F18" s="75"/>
      <c r="G18" s="80"/>
      <c r="H18" s="65" t="s">
        <v>88</v>
      </c>
      <c r="I18" s="44" t="s">
        <v>75</v>
      </c>
      <c r="J18" s="65" t="s">
        <v>82</v>
      </c>
      <c r="K18" s="67">
        <v>4.0</v>
      </c>
      <c r="L18" s="67">
        <v>0.0</v>
      </c>
      <c r="M18" s="67">
        <v>4.0</v>
      </c>
      <c r="N18" s="65" t="s">
        <v>94</v>
      </c>
      <c r="O18" s="43" t="s">
        <v>116</v>
      </c>
      <c r="P18" s="70"/>
      <c r="Q18" s="52" t="s">
        <v>118</v>
      </c>
      <c r="R18" s="77"/>
      <c r="S18" s="78"/>
      <c r="T18" s="44" t="s">
        <v>100</v>
      </c>
      <c r="U18" s="70"/>
      <c r="V18" s="70"/>
      <c r="W18" s="70"/>
      <c r="X18" s="44" t="s">
        <v>138</v>
      </c>
      <c r="Y18" s="70"/>
      <c r="Z18" s="70"/>
      <c r="AA18" s="74"/>
    </row>
    <row r="19">
      <c r="A19" s="1"/>
      <c r="B19" s="58" t="s">
        <v>227</v>
      </c>
      <c r="C19" s="89" t="s">
        <v>228</v>
      </c>
      <c r="D19" s="40" t="s">
        <v>79</v>
      </c>
      <c r="E19" s="94" t="s">
        <v>229</v>
      </c>
      <c r="F19" s="75"/>
      <c r="G19" s="95" t="s">
        <v>230</v>
      </c>
      <c r="H19" s="65" t="s">
        <v>88</v>
      </c>
      <c r="I19" s="44" t="s">
        <v>75</v>
      </c>
      <c r="J19" s="65" t="s">
        <v>82</v>
      </c>
      <c r="K19" s="67">
        <v>2.0</v>
      </c>
      <c r="L19" s="67">
        <v>0.0</v>
      </c>
      <c r="M19" s="67">
        <v>2.0</v>
      </c>
      <c r="N19" s="65" t="s">
        <v>94</v>
      </c>
      <c r="O19" s="43" t="s">
        <v>236</v>
      </c>
      <c r="P19" s="70"/>
      <c r="Q19" s="52" t="s">
        <v>98</v>
      </c>
      <c r="R19" s="77"/>
      <c r="S19" s="78"/>
      <c r="T19" s="44" t="s">
        <v>100</v>
      </c>
      <c r="U19" s="70"/>
      <c r="V19" s="70"/>
      <c r="W19" s="70"/>
      <c r="X19" s="44" t="s">
        <v>102</v>
      </c>
      <c r="Y19" s="70"/>
      <c r="Z19" s="70"/>
      <c r="AA19" s="74"/>
    </row>
    <row r="20">
      <c r="A20" s="1"/>
      <c r="B20" s="58" t="s">
        <v>241</v>
      </c>
      <c r="C20" s="83" t="s">
        <v>242</v>
      </c>
      <c r="D20" s="40" t="s">
        <v>79</v>
      </c>
      <c r="E20" s="61" t="s">
        <v>244</v>
      </c>
      <c r="F20" s="75"/>
      <c r="G20" s="80"/>
      <c r="H20" s="65" t="s">
        <v>88</v>
      </c>
      <c r="I20" s="44" t="s">
        <v>75</v>
      </c>
      <c r="J20" s="65" t="s">
        <v>82</v>
      </c>
      <c r="K20" s="67">
        <v>2.0</v>
      </c>
      <c r="L20" s="67">
        <v>0.0</v>
      </c>
      <c r="M20" s="67">
        <v>2.0</v>
      </c>
      <c r="N20" s="65" t="s">
        <v>94</v>
      </c>
      <c r="O20" s="43" t="s">
        <v>116</v>
      </c>
      <c r="P20" s="70"/>
      <c r="Q20" s="52" t="s">
        <v>118</v>
      </c>
      <c r="R20" s="77"/>
      <c r="S20" s="78"/>
      <c r="T20" s="44" t="s">
        <v>100</v>
      </c>
      <c r="U20" s="70"/>
      <c r="V20" s="70"/>
      <c r="W20" s="70"/>
      <c r="X20" s="44" t="s">
        <v>138</v>
      </c>
      <c r="Y20" s="70"/>
      <c r="Z20" s="70"/>
      <c r="AA20" s="74"/>
    </row>
    <row r="21">
      <c r="A21" s="1"/>
      <c r="B21" s="58" t="s">
        <v>245</v>
      </c>
      <c r="C21" s="83" t="s">
        <v>246</v>
      </c>
      <c r="D21" s="40" t="s">
        <v>79</v>
      </c>
      <c r="E21" s="61" t="s">
        <v>247</v>
      </c>
      <c r="F21" s="75"/>
      <c r="G21" s="84">
        <v>9.83112711E8</v>
      </c>
      <c r="H21" s="65" t="s">
        <v>88</v>
      </c>
      <c r="I21" s="44" t="s">
        <v>75</v>
      </c>
      <c r="J21" s="65" t="s">
        <v>248</v>
      </c>
      <c r="K21" s="67">
        <v>6.0</v>
      </c>
      <c r="L21" s="67">
        <v>2.0</v>
      </c>
      <c r="M21" s="67">
        <v>4.0</v>
      </c>
      <c r="N21" s="65" t="s">
        <v>94</v>
      </c>
      <c r="O21" s="43" t="s">
        <v>116</v>
      </c>
      <c r="P21" s="70"/>
      <c r="Q21" s="52" t="s">
        <v>98</v>
      </c>
      <c r="R21" s="77"/>
      <c r="S21" s="78"/>
      <c r="T21" s="44" t="s">
        <v>100</v>
      </c>
      <c r="U21" s="70"/>
      <c r="V21" s="70"/>
      <c r="W21" s="70"/>
      <c r="X21" s="44" t="s">
        <v>138</v>
      </c>
      <c r="Y21" s="70"/>
      <c r="Z21" s="70"/>
      <c r="AA21" s="74"/>
    </row>
    <row r="22" ht="32.25" customHeight="1">
      <c r="A22" s="1"/>
      <c r="B22" s="58" t="s">
        <v>249</v>
      </c>
      <c r="C22" s="99" t="s">
        <v>250</v>
      </c>
      <c r="D22" s="40" t="s">
        <v>79</v>
      </c>
      <c r="E22" s="87" t="s">
        <v>251</v>
      </c>
      <c r="F22" s="79"/>
      <c r="G22" s="76">
        <v>3.52732123E8</v>
      </c>
      <c r="H22" s="65" t="s">
        <v>88</v>
      </c>
      <c r="I22" s="44" t="s">
        <v>75</v>
      </c>
      <c r="J22" s="65" t="s">
        <v>82</v>
      </c>
      <c r="K22" s="67">
        <v>4.0</v>
      </c>
      <c r="L22" s="67">
        <v>0.0</v>
      </c>
      <c r="M22" s="67">
        <v>4.0</v>
      </c>
      <c r="N22" s="65" t="s">
        <v>94</v>
      </c>
      <c r="O22" s="43" t="s">
        <v>252</v>
      </c>
      <c r="P22" s="70"/>
      <c r="Q22" s="52" t="s">
        <v>98</v>
      </c>
      <c r="R22" s="77"/>
      <c r="S22" s="78"/>
      <c r="T22" s="44" t="s">
        <v>100</v>
      </c>
      <c r="U22" s="70"/>
      <c r="V22" s="70"/>
      <c r="W22" s="70"/>
      <c r="X22" s="44" t="s">
        <v>138</v>
      </c>
      <c r="Y22" s="70"/>
      <c r="Z22" s="70"/>
      <c r="AA22" s="74"/>
    </row>
    <row r="23">
      <c r="B23" s="58" t="s">
        <v>253</v>
      </c>
      <c r="C23" s="102" t="s">
        <v>254</v>
      </c>
      <c r="D23" s="40" t="s">
        <v>79</v>
      </c>
      <c r="E23" s="103" t="s">
        <v>255</v>
      </c>
      <c r="G23" s="104" t="s">
        <v>256</v>
      </c>
      <c r="H23" s="65" t="s">
        <v>88</v>
      </c>
      <c r="I23" s="44" t="s">
        <v>75</v>
      </c>
      <c r="J23" s="65" t="s">
        <v>248</v>
      </c>
      <c r="N23" s="65" t="s">
        <v>94</v>
      </c>
      <c r="O23" s="43" t="s">
        <v>257</v>
      </c>
      <c r="Q23" s="105" t="s">
        <v>258</v>
      </c>
      <c r="T23" s="44" t="s">
        <v>100</v>
      </c>
      <c r="X23" s="44" t="s">
        <v>138</v>
      </c>
    </row>
    <row r="24">
      <c r="A24" s="1"/>
      <c r="B24" s="58" t="s">
        <v>259</v>
      </c>
      <c r="C24" s="99" t="s">
        <v>260</v>
      </c>
      <c r="D24" s="40" t="s">
        <v>79</v>
      </c>
      <c r="E24" s="61" t="s">
        <v>261</v>
      </c>
      <c r="F24" s="75"/>
      <c r="G24" s="80"/>
      <c r="H24" s="65" t="s">
        <v>88</v>
      </c>
      <c r="I24" s="44" t="s">
        <v>75</v>
      </c>
      <c r="J24" s="65" t="s">
        <v>82</v>
      </c>
      <c r="K24" s="67">
        <v>9.0</v>
      </c>
      <c r="L24" s="67">
        <v>0.0</v>
      </c>
      <c r="M24" s="67">
        <v>9.0</v>
      </c>
      <c r="N24" s="65" t="s">
        <v>94</v>
      </c>
      <c r="O24" s="43" t="s">
        <v>262</v>
      </c>
      <c r="P24" s="70"/>
      <c r="Q24" s="52" t="s">
        <v>118</v>
      </c>
      <c r="R24" s="77"/>
      <c r="S24" s="78"/>
      <c r="T24" s="44" t="s">
        <v>100</v>
      </c>
      <c r="U24" s="70"/>
      <c r="V24" s="70"/>
      <c r="W24" s="70"/>
      <c r="X24" s="44" t="s">
        <v>138</v>
      </c>
      <c r="Y24" s="70"/>
      <c r="Z24" s="70"/>
      <c r="AA24" s="74"/>
    </row>
    <row r="25">
      <c r="A25" s="1"/>
      <c r="B25" s="58" t="s">
        <v>263</v>
      </c>
      <c r="C25" s="83" t="s">
        <v>264</v>
      </c>
      <c r="D25" s="40" t="s">
        <v>79</v>
      </c>
      <c r="E25" s="61" t="s">
        <v>265</v>
      </c>
      <c r="F25" s="75"/>
      <c r="G25" s="76">
        <v>9.27990909E8</v>
      </c>
      <c r="H25" s="65" t="s">
        <v>88</v>
      </c>
      <c r="I25" s="44" t="s">
        <v>75</v>
      </c>
      <c r="J25" s="65" t="s">
        <v>82</v>
      </c>
      <c r="K25" s="67">
        <v>5.0</v>
      </c>
      <c r="L25" s="67">
        <v>0.0</v>
      </c>
      <c r="M25" s="67">
        <v>5.0</v>
      </c>
      <c r="N25" s="65" t="s">
        <v>94</v>
      </c>
      <c r="O25" s="43" t="s">
        <v>252</v>
      </c>
      <c r="P25" s="70"/>
      <c r="Q25" s="52" t="s">
        <v>98</v>
      </c>
      <c r="R25" s="77"/>
      <c r="S25" s="78"/>
      <c r="T25" s="44" t="s">
        <v>100</v>
      </c>
      <c r="U25" s="70"/>
      <c r="V25" s="70"/>
      <c r="W25" s="70"/>
      <c r="X25" s="44" t="s">
        <v>102</v>
      </c>
      <c r="Y25" s="70"/>
      <c r="Z25" s="70"/>
      <c r="AA25" s="74"/>
    </row>
    <row r="26">
      <c r="A26" s="1"/>
      <c r="B26" s="58" t="s">
        <v>266</v>
      </c>
      <c r="C26" s="83" t="s">
        <v>267</v>
      </c>
      <c r="D26" s="40" t="s">
        <v>79</v>
      </c>
      <c r="E26" s="61" t="s">
        <v>268</v>
      </c>
      <c r="F26" s="75"/>
      <c r="G26" s="80"/>
      <c r="H26" s="65" t="s">
        <v>88</v>
      </c>
      <c r="I26" s="44" t="s">
        <v>75</v>
      </c>
      <c r="J26" s="65" t="s">
        <v>82</v>
      </c>
      <c r="K26" s="67">
        <v>4.0</v>
      </c>
      <c r="L26" s="67">
        <v>0.0</v>
      </c>
      <c r="M26" s="67">
        <v>4.0</v>
      </c>
      <c r="N26" s="65" t="s">
        <v>94</v>
      </c>
      <c r="O26" s="43" t="s">
        <v>116</v>
      </c>
      <c r="P26" s="70"/>
      <c r="Q26" s="52" t="s">
        <v>118</v>
      </c>
      <c r="R26" s="77"/>
      <c r="S26" s="78"/>
      <c r="T26" s="44" t="s">
        <v>100</v>
      </c>
      <c r="U26" s="70"/>
      <c r="V26" s="70"/>
      <c r="W26" s="70"/>
      <c r="X26" s="44" t="s">
        <v>138</v>
      </c>
      <c r="Y26" s="70"/>
      <c r="Z26" s="70"/>
      <c r="AA26" s="74"/>
    </row>
    <row r="27">
      <c r="A27" s="1"/>
      <c r="B27" s="58" t="s">
        <v>269</v>
      </c>
      <c r="C27" s="102" t="s">
        <v>270</v>
      </c>
      <c r="D27" s="40" t="s">
        <v>79</v>
      </c>
      <c r="E27" s="61" t="s">
        <v>271</v>
      </c>
      <c r="F27" s="75"/>
      <c r="G27" s="76">
        <v>9.66032142E8</v>
      </c>
      <c r="H27" s="65" t="s">
        <v>88</v>
      </c>
      <c r="I27" s="44" t="s">
        <v>75</v>
      </c>
      <c r="J27" s="65" t="s">
        <v>82</v>
      </c>
      <c r="K27" s="67">
        <v>3.0</v>
      </c>
      <c r="L27" s="67">
        <v>0.0</v>
      </c>
      <c r="M27" s="67">
        <v>3.0</v>
      </c>
      <c r="N27" s="65" t="s">
        <v>94</v>
      </c>
      <c r="O27" s="43" t="s">
        <v>252</v>
      </c>
      <c r="P27" s="70"/>
      <c r="Q27" s="52" t="s">
        <v>98</v>
      </c>
      <c r="R27" s="77"/>
      <c r="S27" s="78"/>
      <c r="T27" s="44" t="s">
        <v>100</v>
      </c>
      <c r="U27" s="70"/>
      <c r="V27" s="70"/>
      <c r="W27" s="70"/>
      <c r="X27" s="44" t="s">
        <v>102</v>
      </c>
      <c r="Y27" s="70"/>
      <c r="Z27" s="70"/>
      <c r="AA27" s="74"/>
    </row>
    <row r="28">
      <c r="A28" s="1"/>
      <c r="B28" s="58" t="s">
        <v>272</v>
      </c>
      <c r="C28" s="102" t="s">
        <v>273</v>
      </c>
      <c r="D28" s="40" t="s">
        <v>79</v>
      </c>
      <c r="E28" s="61" t="s">
        <v>274</v>
      </c>
      <c r="F28" s="75"/>
      <c r="G28" s="76">
        <v>9.66032142E8</v>
      </c>
      <c r="H28" s="65" t="s">
        <v>88</v>
      </c>
      <c r="I28" s="44" t="s">
        <v>75</v>
      </c>
      <c r="J28" s="65" t="s">
        <v>82</v>
      </c>
      <c r="K28" s="67">
        <v>3.0</v>
      </c>
      <c r="L28" s="67">
        <v>0.0</v>
      </c>
      <c r="M28" s="67">
        <v>3.0</v>
      </c>
      <c r="N28" s="65" t="s">
        <v>94</v>
      </c>
      <c r="O28" s="43" t="s">
        <v>252</v>
      </c>
      <c r="P28" s="70"/>
      <c r="Q28" s="52" t="s">
        <v>118</v>
      </c>
      <c r="R28" s="77"/>
      <c r="S28" s="78"/>
      <c r="T28" s="44" t="s">
        <v>100</v>
      </c>
      <c r="U28" s="70"/>
      <c r="V28" s="70"/>
      <c r="W28" s="70"/>
      <c r="X28" s="44" t="s">
        <v>102</v>
      </c>
      <c r="Y28" s="70"/>
      <c r="Z28" s="70"/>
      <c r="AA28" s="74"/>
    </row>
    <row r="29">
      <c r="A29" s="1"/>
      <c r="B29" s="58" t="s">
        <v>275</v>
      </c>
      <c r="C29" s="102" t="s">
        <v>276</v>
      </c>
      <c r="D29" s="40" t="s">
        <v>79</v>
      </c>
      <c r="E29" s="65" t="s">
        <v>277</v>
      </c>
      <c r="F29" s="70"/>
      <c r="G29" s="80"/>
      <c r="H29" s="65" t="s">
        <v>88</v>
      </c>
      <c r="I29" s="44" t="s">
        <v>75</v>
      </c>
      <c r="J29" s="65" t="s">
        <v>82</v>
      </c>
      <c r="K29" s="67">
        <v>9.0</v>
      </c>
      <c r="L29" s="67">
        <v>0.0</v>
      </c>
      <c r="M29" s="67">
        <v>9.0</v>
      </c>
      <c r="N29" s="65" t="s">
        <v>94</v>
      </c>
      <c r="O29" s="43" t="s">
        <v>262</v>
      </c>
      <c r="P29" s="70"/>
      <c r="Q29" s="52" t="s">
        <v>118</v>
      </c>
      <c r="R29" s="77"/>
      <c r="S29" s="78"/>
      <c r="T29" s="44" t="s">
        <v>100</v>
      </c>
      <c r="U29" s="70"/>
      <c r="V29" s="70"/>
      <c r="W29" s="70"/>
      <c r="X29" s="44" t="s">
        <v>138</v>
      </c>
      <c r="Y29" s="70"/>
      <c r="Z29" s="70"/>
      <c r="AA29" s="74"/>
    </row>
    <row r="30">
      <c r="A30" s="1"/>
      <c r="B30" s="58" t="s">
        <v>278</v>
      </c>
      <c r="C30" s="65" t="s">
        <v>279</v>
      </c>
      <c r="D30" s="40" t="s">
        <v>79</v>
      </c>
      <c r="E30" s="65" t="s">
        <v>280</v>
      </c>
      <c r="F30" s="70"/>
      <c r="G30" s="76" t="s">
        <v>281</v>
      </c>
      <c r="H30" s="65" t="s">
        <v>88</v>
      </c>
      <c r="I30" s="44" t="s">
        <v>75</v>
      </c>
      <c r="J30" s="65" t="s">
        <v>82</v>
      </c>
      <c r="K30" s="67">
        <v>4.0</v>
      </c>
      <c r="L30" s="67">
        <v>0.0</v>
      </c>
      <c r="M30" s="67">
        <v>4.0</v>
      </c>
      <c r="N30" s="65" t="s">
        <v>94</v>
      </c>
      <c r="O30" s="60" t="s">
        <v>116</v>
      </c>
      <c r="P30" s="70"/>
      <c r="Q30" s="52" t="s">
        <v>282</v>
      </c>
      <c r="R30" s="77"/>
      <c r="S30" s="78"/>
      <c r="T30" s="44" t="s">
        <v>100</v>
      </c>
      <c r="U30" s="70"/>
      <c r="V30" s="70"/>
      <c r="W30" s="70"/>
      <c r="X30" s="44" t="s">
        <v>138</v>
      </c>
      <c r="Y30" s="70"/>
      <c r="Z30" s="70"/>
      <c r="AA30" s="74"/>
    </row>
    <row r="31">
      <c r="A31" s="1"/>
      <c r="B31" s="58" t="s">
        <v>283</v>
      </c>
      <c r="C31" s="83" t="s">
        <v>284</v>
      </c>
      <c r="D31" s="40" t="s">
        <v>79</v>
      </c>
      <c r="E31" s="65" t="s">
        <v>285</v>
      </c>
      <c r="F31" s="70"/>
      <c r="G31" s="80"/>
      <c r="H31" s="65" t="s">
        <v>286</v>
      </c>
      <c r="I31" s="44" t="s">
        <v>75</v>
      </c>
      <c r="J31" s="65" t="s">
        <v>82</v>
      </c>
      <c r="K31" s="67">
        <v>6.0</v>
      </c>
      <c r="L31" s="67">
        <v>0.0</v>
      </c>
      <c r="M31" s="67">
        <v>6.0</v>
      </c>
      <c r="N31" s="65" t="s">
        <v>94</v>
      </c>
      <c r="O31" s="60" t="s">
        <v>116</v>
      </c>
      <c r="P31" s="70"/>
      <c r="Q31" s="52" t="s">
        <v>282</v>
      </c>
      <c r="R31" s="77"/>
      <c r="S31" s="78"/>
      <c r="T31" s="44" t="s">
        <v>100</v>
      </c>
      <c r="U31" s="70"/>
      <c r="V31" s="70"/>
      <c r="W31" s="70"/>
      <c r="X31" s="44" t="s">
        <v>138</v>
      </c>
      <c r="Y31" s="70"/>
      <c r="Z31" s="70"/>
      <c r="AA31" s="74"/>
    </row>
    <row r="32">
      <c r="A32" s="1"/>
      <c r="B32" s="58" t="s">
        <v>287</v>
      </c>
      <c r="C32" s="83" t="s">
        <v>288</v>
      </c>
      <c r="D32" s="65" t="s">
        <v>79</v>
      </c>
      <c r="E32" s="65" t="s">
        <v>289</v>
      </c>
      <c r="F32" s="70"/>
      <c r="G32" s="76">
        <v>9.05225295E8</v>
      </c>
      <c r="H32" s="65" t="s">
        <v>88</v>
      </c>
      <c r="I32" s="44" t="s">
        <v>75</v>
      </c>
      <c r="J32" s="65" t="s">
        <v>82</v>
      </c>
      <c r="K32" s="67">
        <v>6.0</v>
      </c>
      <c r="L32" s="67">
        <v>0.0</v>
      </c>
      <c r="M32" s="67">
        <v>6.0</v>
      </c>
      <c r="N32" s="65" t="s">
        <v>94</v>
      </c>
      <c r="O32" s="60" t="s">
        <v>116</v>
      </c>
      <c r="P32" s="70"/>
      <c r="Q32" s="52" t="s">
        <v>118</v>
      </c>
      <c r="R32" s="77"/>
      <c r="S32" s="78"/>
      <c r="T32" s="44" t="s">
        <v>100</v>
      </c>
      <c r="U32" s="70"/>
      <c r="V32" s="70"/>
      <c r="W32" s="70"/>
      <c r="X32" s="44" t="s">
        <v>138</v>
      </c>
      <c r="Y32" s="70"/>
      <c r="Z32" s="70"/>
      <c r="AA32" s="74"/>
    </row>
    <row r="33">
      <c r="A33" s="1"/>
      <c r="B33" s="58" t="s">
        <v>290</v>
      </c>
      <c r="C33" s="102" t="s">
        <v>291</v>
      </c>
      <c r="D33" s="65" t="s">
        <v>79</v>
      </c>
      <c r="E33" s="65" t="s">
        <v>292</v>
      </c>
      <c r="F33" s="70"/>
      <c r="G33" s="76">
        <v>7.08721111E8</v>
      </c>
      <c r="H33" s="65" t="s">
        <v>88</v>
      </c>
      <c r="I33" s="44" t="s">
        <v>75</v>
      </c>
      <c r="J33" s="65" t="s">
        <v>248</v>
      </c>
      <c r="K33" s="67">
        <v>16.0</v>
      </c>
      <c r="L33" s="67">
        <v>8.0</v>
      </c>
      <c r="M33" s="67">
        <v>8.0</v>
      </c>
      <c r="N33" s="65" t="s">
        <v>293</v>
      </c>
      <c r="O33" s="43" t="s">
        <v>257</v>
      </c>
      <c r="P33" s="70"/>
      <c r="Q33" s="52" t="s">
        <v>98</v>
      </c>
      <c r="R33" s="77"/>
      <c r="S33" s="78"/>
      <c r="T33" s="44" t="s">
        <v>100</v>
      </c>
      <c r="U33" s="70"/>
      <c r="V33" s="70"/>
      <c r="W33" s="70"/>
      <c r="X33" s="44" t="s">
        <v>138</v>
      </c>
      <c r="Y33" s="70"/>
      <c r="Z33" s="70"/>
      <c r="AA33" s="74"/>
    </row>
    <row r="34">
      <c r="A34" s="1"/>
      <c r="B34" s="58" t="s">
        <v>294</v>
      </c>
      <c r="C34" s="83" t="s">
        <v>295</v>
      </c>
      <c r="D34" s="65" t="s">
        <v>79</v>
      </c>
      <c r="E34" s="65" t="s">
        <v>296</v>
      </c>
      <c r="F34" s="70"/>
      <c r="G34" s="80"/>
      <c r="H34" s="65" t="s">
        <v>88</v>
      </c>
      <c r="I34" s="44" t="s">
        <v>75</v>
      </c>
      <c r="J34" s="65" t="s">
        <v>82</v>
      </c>
      <c r="K34" s="67">
        <v>2.0</v>
      </c>
      <c r="L34" s="67">
        <v>0.0</v>
      </c>
      <c r="M34" s="67">
        <v>2.0</v>
      </c>
      <c r="N34" s="65" t="s">
        <v>94</v>
      </c>
      <c r="O34" s="43" t="s">
        <v>252</v>
      </c>
      <c r="P34" s="70"/>
      <c r="Q34" s="52" t="s">
        <v>98</v>
      </c>
      <c r="R34" s="77"/>
      <c r="S34" s="78"/>
      <c r="T34" s="44" t="s">
        <v>100</v>
      </c>
      <c r="U34" s="70"/>
      <c r="V34" s="70"/>
      <c r="W34" s="70"/>
      <c r="X34" s="44" t="s">
        <v>138</v>
      </c>
      <c r="Y34" s="70"/>
      <c r="Z34" s="70"/>
      <c r="AA34" s="74"/>
    </row>
    <row r="35">
      <c r="A35" s="1"/>
      <c r="B35" s="58" t="s">
        <v>297</v>
      </c>
      <c r="C35" s="83" t="s">
        <v>298</v>
      </c>
      <c r="D35" s="65" t="s">
        <v>79</v>
      </c>
      <c r="E35" s="65" t="s">
        <v>299</v>
      </c>
      <c r="F35" s="70"/>
      <c r="G35" s="76">
        <v>9.0507748E8</v>
      </c>
      <c r="H35" s="65" t="s">
        <v>88</v>
      </c>
      <c r="I35" s="44" t="s">
        <v>75</v>
      </c>
      <c r="J35" s="65" t="s">
        <v>82</v>
      </c>
      <c r="K35" s="67">
        <v>3.0</v>
      </c>
      <c r="L35" s="67">
        <v>0.0</v>
      </c>
      <c r="M35" s="67">
        <v>3.0</v>
      </c>
      <c r="N35" s="65" t="s">
        <v>94</v>
      </c>
      <c r="O35" s="60" t="s">
        <v>116</v>
      </c>
      <c r="P35" s="70"/>
      <c r="Q35" s="52" t="s">
        <v>300</v>
      </c>
      <c r="R35" s="77"/>
      <c r="S35" s="78"/>
      <c r="T35" s="44" t="s">
        <v>100</v>
      </c>
      <c r="U35" s="70"/>
      <c r="V35" s="70"/>
      <c r="W35" s="70"/>
      <c r="X35" s="44" t="s">
        <v>102</v>
      </c>
      <c r="Y35" s="70"/>
      <c r="Z35" s="70"/>
      <c r="AA35" s="74"/>
    </row>
    <row r="36">
      <c r="A36" s="1"/>
      <c r="B36" s="58" t="s">
        <v>301</v>
      </c>
      <c r="C36" s="83" t="s">
        <v>302</v>
      </c>
      <c r="D36" s="65" t="s">
        <v>79</v>
      </c>
      <c r="E36" s="65" t="s">
        <v>303</v>
      </c>
      <c r="F36" s="70"/>
      <c r="G36" s="76">
        <v>9.05690989E8</v>
      </c>
      <c r="H36" s="65" t="s">
        <v>88</v>
      </c>
      <c r="I36" s="44" t="s">
        <v>75</v>
      </c>
      <c r="J36" s="65" t="s">
        <v>82</v>
      </c>
      <c r="K36" s="67">
        <v>8.0</v>
      </c>
      <c r="L36" s="67">
        <v>0.0</v>
      </c>
      <c r="M36" s="67">
        <v>8.0</v>
      </c>
      <c r="N36" s="65" t="s">
        <v>94</v>
      </c>
      <c r="O36" s="60" t="s">
        <v>116</v>
      </c>
      <c r="P36" s="70"/>
      <c r="Q36" s="52" t="s">
        <v>98</v>
      </c>
      <c r="R36" s="77"/>
      <c r="S36" s="78"/>
      <c r="T36" s="44" t="s">
        <v>100</v>
      </c>
      <c r="U36" s="70"/>
      <c r="V36" s="70"/>
      <c r="W36" s="70"/>
      <c r="X36" s="44" t="s">
        <v>102</v>
      </c>
      <c r="Y36" s="70"/>
      <c r="Z36" s="70"/>
      <c r="AA36" s="74"/>
    </row>
    <row r="37">
      <c r="A37" s="1"/>
      <c r="B37" s="58" t="s">
        <v>304</v>
      </c>
      <c r="C37" s="83" t="s">
        <v>305</v>
      </c>
      <c r="D37" s="65" t="s">
        <v>79</v>
      </c>
      <c r="E37" s="65" t="s">
        <v>303</v>
      </c>
      <c r="F37" s="70"/>
      <c r="G37" s="76">
        <v>8.982007E8</v>
      </c>
      <c r="H37" s="65" t="s">
        <v>88</v>
      </c>
      <c r="I37" s="44" t="s">
        <v>75</v>
      </c>
      <c r="J37" s="65" t="s">
        <v>82</v>
      </c>
      <c r="K37" s="67">
        <v>13.0</v>
      </c>
      <c r="L37" s="67">
        <v>0.0</v>
      </c>
      <c r="M37" s="67">
        <v>13.0</v>
      </c>
      <c r="N37" s="65" t="s">
        <v>94</v>
      </c>
      <c r="O37" s="60" t="s">
        <v>306</v>
      </c>
      <c r="P37" s="70"/>
      <c r="Q37" s="52" t="s">
        <v>98</v>
      </c>
      <c r="R37" s="77"/>
      <c r="S37" s="78"/>
      <c r="T37" s="44" t="s">
        <v>100</v>
      </c>
      <c r="U37" s="70"/>
      <c r="V37" s="70"/>
      <c r="W37" s="70"/>
      <c r="X37" s="44" t="s">
        <v>102</v>
      </c>
      <c r="Y37" s="70"/>
      <c r="Z37" s="70"/>
      <c r="AA37" s="74"/>
    </row>
    <row r="38">
      <c r="A38" s="1"/>
      <c r="B38" s="58" t="s">
        <v>307</v>
      </c>
      <c r="C38" s="65" t="s">
        <v>308</v>
      </c>
      <c r="D38" s="65" t="s">
        <v>79</v>
      </c>
      <c r="E38" s="65" t="s">
        <v>309</v>
      </c>
      <c r="F38" s="70"/>
      <c r="G38" s="76" t="s">
        <v>310</v>
      </c>
      <c r="H38" s="65" t="s">
        <v>88</v>
      </c>
      <c r="I38" s="44" t="s">
        <v>75</v>
      </c>
      <c r="J38" s="65" t="s">
        <v>82</v>
      </c>
      <c r="K38" s="67">
        <v>4.0</v>
      </c>
      <c r="L38" s="67">
        <v>0.0</v>
      </c>
      <c r="M38" s="67">
        <v>4.0</v>
      </c>
      <c r="N38" s="65" t="s">
        <v>94</v>
      </c>
      <c r="O38" s="60" t="s">
        <v>306</v>
      </c>
      <c r="P38" s="70"/>
      <c r="Q38" s="52" t="s">
        <v>282</v>
      </c>
      <c r="R38" s="77"/>
      <c r="S38" s="78"/>
      <c r="T38" s="44" t="s">
        <v>100</v>
      </c>
      <c r="U38" s="70"/>
      <c r="V38" s="70"/>
      <c r="W38" s="70"/>
      <c r="X38" s="44" t="s">
        <v>138</v>
      </c>
      <c r="Y38" s="70"/>
      <c r="Z38" s="70"/>
      <c r="AA38" s="74"/>
    </row>
    <row r="39">
      <c r="A39" s="1"/>
      <c r="B39" s="58" t="s">
        <v>311</v>
      </c>
      <c r="C39" s="112" t="s">
        <v>312</v>
      </c>
      <c r="D39" s="65" t="s">
        <v>79</v>
      </c>
      <c r="E39" s="65" t="s">
        <v>313</v>
      </c>
      <c r="F39" s="70"/>
      <c r="G39" s="80"/>
      <c r="H39" s="65" t="s">
        <v>88</v>
      </c>
      <c r="I39" s="44" t="s">
        <v>75</v>
      </c>
      <c r="J39" s="65" t="s">
        <v>82</v>
      </c>
      <c r="K39" s="67">
        <v>6.0</v>
      </c>
      <c r="L39" s="67">
        <v>0.0</v>
      </c>
      <c r="M39" s="67">
        <v>6.0</v>
      </c>
      <c r="N39" s="65" t="s">
        <v>94</v>
      </c>
      <c r="O39" s="43" t="s">
        <v>252</v>
      </c>
      <c r="P39" s="70"/>
      <c r="Q39" s="52" t="s">
        <v>98</v>
      </c>
      <c r="R39" s="77"/>
      <c r="S39" s="78"/>
      <c r="T39" s="44" t="s">
        <v>100</v>
      </c>
      <c r="U39" s="70"/>
      <c r="V39" s="70"/>
      <c r="W39" s="70"/>
      <c r="X39" s="44" t="s">
        <v>102</v>
      </c>
      <c r="Y39" s="70"/>
      <c r="Z39" s="70"/>
      <c r="AA39" s="74"/>
    </row>
    <row r="40">
      <c r="A40" s="1"/>
      <c r="B40" s="58" t="s">
        <v>314</v>
      </c>
      <c r="C40" s="83" t="s">
        <v>315</v>
      </c>
      <c r="D40" s="65" t="s">
        <v>79</v>
      </c>
      <c r="E40" s="65" t="s">
        <v>316</v>
      </c>
      <c r="F40" s="70"/>
      <c r="G40" s="80"/>
      <c r="H40" s="65" t="s">
        <v>88</v>
      </c>
      <c r="I40" s="44" t="s">
        <v>75</v>
      </c>
      <c r="J40" s="65" t="s">
        <v>82</v>
      </c>
      <c r="K40" s="67">
        <v>7.0</v>
      </c>
      <c r="L40" s="67">
        <v>0.0</v>
      </c>
      <c r="M40" s="67">
        <v>7.0</v>
      </c>
      <c r="N40" s="65" t="s">
        <v>94</v>
      </c>
      <c r="O40" s="60" t="s">
        <v>306</v>
      </c>
      <c r="P40" s="70"/>
      <c r="Q40" s="52" t="s">
        <v>118</v>
      </c>
      <c r="R40" s="77"/>
      <c r="S40" s="78"/>
      <c r="T40" s="44" t="s">
        <v>100</v>
      </c>
      <c r="U40" s="70"/>
      <c r="V40" s="70"/>
      <c r="W40" s="70"/>
      <c r="X40" s="44" t="s">
        <v>138</v>
      </c>
      <c r="Y40" s="70"/>
      <c r="Z40" s="70"/>
      <c r="AA40" s="74"/>
    </row>
    <row r="41">
      <c r="A41" s="1"/>
      <c r="B41" s="58" t="s">
        <v>317</v>
      </c>
      <c r="C41" s="113" t="s">
        <v>318</v>
      </c>
      <c r="D41" s="65" t="s">
        <v>79</v>
      </c>
      <c r="E41" s="65" t="s">
        <v>319</v>
      </c>
      <c r="F41" s="70"/>
      <c r="G41" s="76">
        <v>9.15571077E8</v>
      </c>
      <c r="H41" s="65" t="s">
        <v>88</v>
      </c>
      <c r="I41" s="44" t="s">
        <v>75</v>
      </c>
      <c r="J41" s="65" t="s">
        <v>82</v>
      </c>
      <c r="K41" s="67">
        <v>4.0</v>
      </c>
      <c r="L41" s="67">
        <v>0.0</v>
      </c>
      <c r="M41" s="67">
        <v>4.0</v>
      </c>
      <c r="N41" s="65" t="s">
        <v>94</v>
      </c>
      <c r="O41" s="60" t="s">
        <v>306</v>
      </c>
      <c r="P41" s="70"/>
      <c r="Q41" s="52" t="s">
        <v>118</v>
      </c>
      <c r="R41" s="77"/>
      <c r="S41" s="78"/>
      <c r="T41" s="44" t="s">
        <v>100</v>
      </c>
      <c r="U41" s="70"/>
      <c r="V41" s="70"/>
      <c r="W41" s="70"/>
      <c r="X41" s="44" t="s">
        <v>138</v>
      </c>
      <c r="Y41" s="70"/>
      <c r="Z41" s="70"/>
      <c r="AA41" s="74"/>
    </row>
    <row r="42">
      <c r="A42" s="1"/>
      <c r="B42" s="58" t="s">
        <v>320</v>
      </c>
      <c r="C42" s="114" t="s">
        <v>321</v>
      </c>
      <c r="D42" s="65" t="s">
        <v>79</v>
      </c>
      <c r="E42" s="65" t="s">
        <v>322</v>
      </c>
      <c r="F42" s="70"/>
      <c r="G42" s="76">
        <v>7.02365369E8</v>
      </c>
      <c r="H42" s="65" t="s">
        <v>88</v>
      </c>
      <c r="I42" s="44" t="s">
        <v>75</v>
      </c>
      <c r="J42" s="65" t="s">
        <v>82</v>
      </c>
      <c r="K42" s="67">
        <v>7.0</v>
      </c>
      <c r="L42" s="67">
        <v>0.0</v>
      </c>
      <c r="M42" s="67">
        <v>7.0</v>
      </c>
      <c r="N42" s="65" t="s">
        <v>94</v>
      </c>
      <c r="O42" s="60" t="s">
        <v>306</v>
      </c>
      <c r="P42" s="70"/>
      <c r="Q42" s="52" t="s">
        <v>98</v>
      </c>
      <c r="R42" s="77"/>
      <c r="S42" s="78"/>
      <c r="T42" s="44" t="s">
        <v>100</v>
      </c>
      <c r="U42" s="70"/>
      <c r="V42" s="70"/>
      <c r="W42" s="70"/>
      <c r="X42" s="44" t="s">
        <v>102</v>
      </c>
      <c r="Y42" s="70"/>
      <c r="Z42" s="70"/>
      <c r="AA42" s="74"/>
    </row>
    <row r="43">
      <c r="A43" s="1"/>
      <c r="B43" s="58" t="s">
        <v>323</v>
      </c>
      <c r="C43" s="114" t="s">
        <v>324</v>
      </c>
      <c r="D43" s="65" t="s">
        <v>79</v>
      </c>
      <c r="E43" s="65" t="s">
        <v>325</v>
      </c>
      <c r="F43" s="70"/>
      <c r="G43" s="76">
        <v>9.03579113E8</v>
      </c>
      <c r="H43" s="65" t="s">
        <v>88</v>
      </c>
      <c r="I43" s="44" t="s">
        <v>75</v>
      </c>
      <c r="J43" s="65" t="s">
        <v>82</v>
      </c>
      <c r="K43" s="67">
        <v>5.0</v>
      </c>
      <c r="L43" s="67">
        <v>0.0</v>
      </c>
      <c r="M43" s="67">
        <v>5.0</v>
      </c>
      <c r="N43" s="65" t="s">
        <v>94</v>
      </c>
      <c r="O43" s="60" t="s">
        <v>306</v>
      </c>
      <c r="P43" s="70"/>
      <c r="Q43" s="52" t="s">
        <v>282</v>
      </c>
      <c r="R43" s="77"/>
      <c r="S43" s="78"/>
      <c r="T43" s="44" t="s">
        <v>100</v>
      </c>
      <c r="U43" s="70"/>
      <c r="V43" s="70"/>
      <c r="W43" s="70"/>
      <c r="X43" s="44" t="s">
        <v>138</v>
      </c>
      <c r="Y43" s="70"/>
      <c r="Z43" s="70"/>
      <c r="AA43" s="74"/>
    </row>
    <row r="44">
      <c r="A44" s="1"/>
      <c r="B44" s="58" t="s">
        <v>326</v>
      </c>
      <c r="C44" s="83" t="s">
        <v>327</v>
      </c>
      <c r="D44" s="65" t="s">
        <v>79</v>
      </c>
      <c r="E44" s="65" t="s">
        <v>328</v>
      </c>
      <c r="F44" s="70"/>
      <c r="G44" s="76">
        <v>9.0501437E8</v>
      </c>
      <c r="H44" s="65" t="s">
        <v>88</v>
      </c>
      <c r="I44" s="44" t="s">
        <v>75</v>
      </c>
      <c r="J44" s="65" t="s">
        <v>82</v>
      </c>
      <c r="K44" s="67">
        <v>4.0</v>
      </c>
      <c r="L44" s="67">
        <v>0.0</v>
      </c>
      <c r="M44" s="67">
        <v>4.0</v>
      </c>
      <c r="N44" s="65" t="s">
        <v>94</v>
      </c>
      <c r="O44" s="60" t="s">
        <v>306</v>
      </c>
      <c r="P44" s="70"/>
      <c r="Q44" s="52" t="s">
        <v>329</v>
      </c>
      <c r="R44" s="77"/>
      <c r="S44" s="78"/>
      <c r="T44" s="44" t="s">
        <v>100</v>
      </c>
      <c r="U44" s="70"/>
      <c r="V44" s="70"/>
      <c r="W44" s="70"/>
      <c r="X44" s="44" t="s">
        <v>138</v>
      </c>
      <c r="Y44" s="70"/>
      <c r="Z44" s="70"/>
      <c r="AA44" s="74"/>
    </row>
    <row r="45">
      <c r="A45" s="1"/>
      <c r="B45" s="58" t="s">
        <v>330</v>
      </c>
      <c r="C45" s="65" t="s">
        <v>331</v>
      </c>
      <c r="D45" s="65" t="s">
        <v>79</v>
      </c>
      <c r="E45" s="65" t="s">
        <v>332</v>
      </c>
      <c r="F45" s="70"/>
      <c r="G45" s="76" t="s">
        <v>333</v>
      </c>
      <c r="H45" s="65" t="s">
        <v>88</v>
      </c>
      <c r="I45" s="44" t="s">
        <v>75</v>
      </c>
      <c r="J45" s="65" t="s">
        <v>82</v>
      </c>
      <c r="K45" s="67">
        <v>14.0</v>
      </c>
      <c r="L45" s="67">
        <v>0.0</v>
      </c>
      <c r="M45" s="67">
        <v>4.0</v>
      </c>
      <c r="N45" s="65" t="s">
        <v>94</v>
      </c>
      <c r="O45" s="60" t="s">
        <v>306</v>
      </c>
      <c r="P45" s="70"/>
      <c r="Q45" s="52" t="s">
        <v>118</v>
      </c>
      <c r="R45" s="77"/>
      <c r="S45" s="78"/>
      <c r="T45" s="44" t="s">
        <v>100</v>
      </c>
      <c r="U45" s="70"/>
      <c r="V45" s="70"/>
      <c r="W45" s="70"/>
      <c r="X45" s="44" t="s">
        <v>138</v>
      </c>
      <c r="Y45" s="70"/>
      <c r="Z45" s="70"/>
      <c r="AA45" s="74"/>
    </row>
    <row r="46">
      <c r="A46" s="1"/>
      <c r="B46" s="58" t="s">
        <v>334</v>
      </c>
      <c r="C46" s="65" t="s">
        <v>335</v>
      </c>
      <c r="D46" s="65" t="s">
        <v>79</v>
      </c>
      <c r="E46" s="65" t="s">
        <v>336</v>
      </c>
      <c r="F46" s="70"/>
      <c r="G46" s="63" t="s">
        <v>337</v>
      </c>
      <c r="H46" s="65" t="s">
        <v>88</v>
      </c>
      <c r="I46" s="44" t="s">
        <v>75</v>
      </c>
      <c r="J46" s="65" t="s">
        <v>82</v>
      </c>
      <c r="K46" s="67">
        <v>4.0</v>
      </c>
      <c r="L46" s="67">
        <v>0.0</v>
      </c>
      <c r="M46" s="67">
        <v>4.0</v>
      </c>
      <c r="N46" s="65" t="s">
        <v>94</v>
      </c>
      <c r="O46" s="60" t="s">
        <v>306</v>
      </c>
      <c r="P46" s="70"/>
      <c r="Q46" s="52" t="s">
        <v>118</v>
      </c>
      <c r="R46" s="77"/>
      <c r="S46" s="78"/>
      <c r="T46" s="44" t="s">
        <v>100</v>
      </c>
      <c r="U46" s="70"/>
      <c r="V46" s="70"/>
      <c r="W46" s="70"/>
      <c r="X46" s="44" t="s">
        <v>138</v>
      </c>
      <c r="Y46" s="70"/>
      <c r="Z46" s="70"/>
      <c r="AA46" s="74"/>
    </row>
    <row r="47">
      <c r="A47" s="1"/>
      <c r="B47" s="58" t="s">
        <v>338</v>
      </c>
      <c r="C47" s="83" t="s">
        <v>339</v>
      </c>
      <c r="D47" s="65" t="s">
        <v>79</v>
      </c>
      <c r="E47" s="65" t="s">
        <v>340</v>
      </c>
      <c r="F47" s="70"/>
      <c r="G47" s="76">
        <v>9.81647647E8</v>
      </c>
      <c r="H47" s="65" t="s">
        <v>88</v>
      </c>
      <c r="I47" s="44" t="s">
        <v>75</v>
      </c>
      <c r="J47" s="65" t="s">
        <v>82</v>
      </c>
      <c r="K47" s="67">
        <v>4.0</v>
      </c>
      <c r="L47" s="67">
        <v>0.0</v>
      </c>
      <c r="M47" s="67">
        <v>4.0</v>
      </c>
      <c r="N47" s="65" t="s">
        <v>94</v>
      </c>
      <c r="O47" s="43" t="s">
        <v>97</v>
      </c>
      <c r="P47" s="70"/>
      <c r="Q47" s="52" t="s">
        <v>98</v>
      </c>
      <c r="R47" s="77"/>
      <c r="S47" s="78"/>
      <c r="T47" s="44" t="s">
        <v>100</v>
      </c>
      <c r="U47" s="70"/>
      <c r="V47" s="70"/>
      <c r="W47" s="70"/>
      <c r="X47" s="44" t="s">
        <v>102</v>
      </c>
      <c r="Y47" s="70"/>
      <c r="Z47" s="70"/>
      <c r="AA47" s="74"/>
    </row>
    <row r="48">
      <c r="A48" s="1"/>
      <c r="B48" s="58" t="s">
        <v>341</v>
      </c>
      <c r="C48" s="83" t="s">
        <v>342</v>
      </c>
      <c r="D48" s="65" t="s">
        <v>79</v>
      </c>
      <c r="E48" s="65" t="s">
        <v>343</v>
      </c>
      <c r="F48" s="70"/>
      <c r="G48" s="80"/>
      <c r="H48" s="65" t="s">
        <v>88</v>
      </c>
      <c r="I48" s="44" t="s">
        <v>75</v>
      </c>
      <c r="J48" s="65" t="s">
        <v>82</v>
      </c>
      <c r="K48" s="115"/>
      <c r="L48" s="115"/>
      <c r="M48" s="115"/>
      <c r="N48" s="65" t="s">
        <v>94</v>
      </c>
      <c r="O48" s="60" t="s">
        <v>306</v>
      </c>
      <c r="P48" s="70"/>
      <c r="Q48" s="52" t="s">
        <v>98</v>
      </c>
      <c r="R48" s="77"/>
      <c r="S48" s="78"/>
      <c r="T48" s="44" t="s">
        <v>100</v>
      </c>
      <c r="U48" s="70"/>
      <c r="V48" s="70"/>
      <c r="W48" s="70"/>
      <c r="X48" s="44" t="s">
        <v>138</v>
      </c>
      <c r="Y48" s="70"/>
      <c r="Z48" s="70"/>
      <c r="AA48" s="74"/>
    </row>
    <row r="49">
      <c r="A49" s="1"/>
      <c r="B49" s="58" t="s">
        <v>344</v>
      </c>
      <c r="C49" s="114" t="s">
        <v>345</v>
      </c>
      <c r="D49" s="65" t="s">
        <v>79</v>
      </c>
      <c r="E49" s="65" t="s">
        <v>346</v>
      </c>
      <c r="F49" s="70"/>
      <c r="G49" s="63" t="s">
        <v>347</v>
      </c>
      <c r="H49" s="65" t="s">
        <v>88</v>
      </c>
      <c r="I49" s="44" t="s">
        <v>75</v>
      </c>
      <c r="J49" s="65" t="s">
        <v>82</v>
      </c>
      <c r="K49" s="67">
        <v>6.0</v>
      </c>
      <c r="L49" s="67">
        <v>0.0</v>
      </c>
      <c r="M49" s="67">
        <v>6.0</v>
      </c>
      <c r="N49" s="65" t="s">
        <v>94</v>
      </c>
      <c r="O49" s="60" t="s">
        <v>306</v>
      </c>
      <c r="P49" s="70"/>
      <c r="Q49" s="52" t="s">
        <v>118</v>
      </c>
      <c r="R49" s="77"/>
      <c r="S49" s="78"/>
      <c r="T49" s="44" t="s">
        <v>100</v>
      </c>
      <c r="U49" s="70"/>
      <c r="V49" s="70"/>
      <c r="W49" s="70"/>
      <c r="X49" s="44" t="s">
        <v>138</v>
      </c>
      <c r="Y49" s="70"/>
      <c r="Z49" s="70"/>
      <c r="AA49" s="74"/>
    </row>
    <row r="50">
      <c r="A50" s="1"/>
      <c r="B50" s="58" t="s">
        <v>348</v>
      </c>
      <c r="C50" s="99" t="s">
        <v>349</v>
      </c>
      <c r="D50" s="65" t="s">
        <v>79</v>
      </c>
      <c r="E50" s="116" t="s">
        <v>350</v>
      </c>
      <c r="F50" s="107"/>
      <c r="G50" s="117">
        <v>9.27990909E8</v>
      </c>
      <c r="H50" s="116" t="s">
        <v>88</v>
      </c>
      <c r="I50" s="44" t="s">
        <v>75</v>
      </c>
      <c r="J50" s="116" t="s">
        <v>82</v>
      </c>
      <c r="K50" s="118">
        <v>3.0</v>
      </c>
      <c r="L50" s="118">
        <v>0.0</v>
      </c>
      <c r="M50" s="118">
        <v>3.0</v>
      </c>
      <c r="N50" s="116" t="s">
        <v>94</v>
      </c>
      <c r="O50" s="43" t="s">
        <v>252</v>
      </c>
      <c r="P50" s="107"/>
      <c r="Q50" s="52" t="s">
        <v>98</v>
      </c>
      <c r="R50" s="110"/>
      <c r="S50" s="119"/>
      <c r="T50" s="44" t="s">
        <v>100</v>
      </c>
      <c r="U50" s="107"/>
      <c r="V50" s="107"/>
      <c r="W50" s="107"/>
      <c r="X50" s="44" t="s">
        <v>138</v>
      </c>
      <c r="Y50" s="107"/>
      <c r="Z50" s="107"/>
      <c r="AA50" s="111"/>
    </row>
    <row r="51">
      <c r="A51" s="1"/>
      <c r="B51" s="58" t="s">
        <v>351</v>
      </c>
      <c r="C51" s="94" t="s">
        <v>352</v>
      </c>
      <c r="D51" s="65" t="s">
        <v>79</v>
      </c>
      <c r="E51" s="103" t="s">
        <v>353</v>
      </c>
      <c r="F51" s="1"/>
      <c r="G51" s="1"/>
      <c r="H51" s="116" t="s">
        <v>88</v>
      </c>
      <c r="I51" s="44" t="s">
        <v>75</v>
      </c>
      <c r="J51" s="116" t="s">
        <v>82</v>
      </c>
      <c r="K51" s="67">
        <v>4.0</v>
      </c>
      <c r="L51" s="67">
        <v>0.0</v>
      </c>
      <c r="M51" s="67">
        <v>4.0</v>
      </c>
      <c r="N51" s="116" t="s">
        <v>94</v>
      </c>
      <c r="O51" s="60" t="s">
        <v>306</v>
      </c>
      <c r="P51" s="1"/>
      <c r="Q51" s="52" t="s">
        <v>98</v>
      </c>
      <c r="R51" s="1"/>
      <c r="S51" s="1"/>
      <c r="T51" s="44" t="s">
        <v>100</v>
      </c>
      <c r="U51" s="1"/>
      <c r="V51" s="1"/>
      <c r="W51" s="1"/>
      <c r="X51" s="44" t="s">
        <v>138</v>
      </c>
      <c r="Y51" s="1"/>
      <c r="Z51" s="1"/>
      <c r="AA51" s="1"/>
    </row>
    <row r="52">
      <c r="A52" s="81"/>
      <c r="B52" s="58" t="s">
        <v>354</v>
      </c>
      <c r="C52" s="83" t="s">
        <v>355</v>
      </c>
      <c r="D52" s="65" t="s">
        <v>79</v>
      </c>
      <c r="E52" s="120" t="s">
        <v>356</v>
      </c>
      <c r="F52" s="81"/>
      <c r="G52" s="120" t="s">
        <v>357</v>
      </c>
      <c r="H52" s="116" t="s">
        <v>286</v>
      </c>
      <c r="I52" s="44" t="s">
        <v>75</v>
      </c>
      <c r="J52" s="116" t="s">
        <v>82</v>
      </c>
      <c r="K52" s="121">
        <v>5.0</v>
      </c>
      <c r="L52" s="121">
        <v>0.0</v>
      </c>
      <c r="M52" s="121">
        <v>5.0</v>
      </c>
      <c r="N52" s="116" t="s">
        <v>94</v>
      </c>
      <c r="O52" s="60" t="s">
        <v>306</v>
      </c>
      <c r="P52" s="81"/>
      <c r="Q52" s="52" t="s">
        <v>98</v>
      </c>
      <c r="R52" s="81"/>
      <c r="S52" s="81"/>
      <c r="T52" s="44" t="s">
        <v>100</v>
      </c>
      <c r="U52" s="81"/>
      <c r="V52" s="81"/>
      <c r="W52" s="81"/>
      <c r="X52" s="44" t="s">
        <v>138</v>
      </c>
      <c r="Y52" s="81"/>
      <c r="Z52" s="81"/>
      <c r="AA52" s="81"/>
    </row>
    <row r="53">
      <c r="A53" s="1"/>
      <c r="B53" s="58" t="s">
        <v>358</v>
      </c>
      <c r="C53" s="102" t="s">
        <v>359</v>
      </c>
      <c r="D53" s="65" t="s">
        <v>79</v>
      </c>
      <c r="E53" s="103" t="s">
        <v>360</v>
      </c>
      <c r="F53" s="1"/>
      <c r="G53" s="103" t="s">
        <v>361</v>
      </c>
      <c r="H53" s="116" t="s">
        <v>286</v>
      </c>
      <c r="I53" s="44" t="s">
        <v>75</v>
      </c>
      <c r="J53" s="116" t="s">
        <v>82</v>
      </c>
      <c r="K53" s="121">
        <v>8.0</v>
      </c>
      <c r="L53" s="121">
        <v>0.0</v>
      </c>
      <c r="M53" s="121">
        <v>8.0</v>
      </c>
      <c r="N53" s="116" t="s">
        <v>94</v>
      </c>
      <c r="O53" s="43" t="s">
        <v>252</v>
      </c>
      <c r="P53" s="1"/>
      <c r="Q53" s="52" t="s">
        <v>300</v>
      </c>
      <c r="R53" s="1"/>
      <c r="S53" s="1"/>
      <c r="T53" s="44" t="s">
        <v>100</v>
      </c>
      <c r="U53" s="1"/>
      <c r="V53" s="1"/>
      <c r="W53" s="1"/>
      <c r="X53" s="44" t="s">
        <v>138</v>
      </c>
      <c r="Y53" s="1"/>
      <c r="Z53" s="1"/>
      <c r="AA53" s="1"/>
    </row>
    <row r="54">
      <c r="A54" s="81"/>
      <c r="B54" s="58" t="s">
        <v>362</v>
      </c>
      <c r="C54" s="83" t="s">
        <v>363</v>
      </c>
      <c r="D54" s="65" t="s">
        <v>79</v>
      </c>
      <c r="E54" s="120" t="s">
        <v>364</v>
      </c>
      <c r="F54" s="81"/>
      <c r="G54" s="120" t="s">
        <v>365</v>
      </c>
      <c r="H54" s="116" t="s">
        <v>88</v>
      </c>
      <c r="I54" s="44" t="s">
        <v>75</v>
      </c>
      <c r="J54" s="116" t="s">
        <v>82</v>
      </c>
      <c r="K54" s="121">
        <v>5.0</v>
      </c>
      <c r="L54" s="121">
        <v>0.0</v>
      </c>
      <c r="M54" s="121">
        <v>5.0</v>
      </c>
      <c r="N54" s="116" t="s">
        <v>94</v>
      </c>
      <c r="O54" s="43" t="s">
        <v>97</v>
      </c>
      <c r="P54" s="81"/>
      <c r="Q54" s="52" t="s">
        <v>98</v>
      </c>
      <c r="R54" s="81"/>
      <c r="S54" s="81"/>
      <c r="T54" s="44" t="s">
        <v>100</v>
      </c>
      <c r="U54" s="81"/>
      <c r="V54" s="81"/>
      <c r="W54" s="81"/>
      <c r="X54" s="44" t="s">
        <v>102</v>
      </c>
      <c r="Y54" s="81"/>
      <c r="Z54" s="81"/>
      <c r="AA54" s="81"/>
    </row>
    <row r="55">
      <c r="A55" s="81"/>
      <c r="B55" s="58" t="s">
        <v>366</v>
      </c>
      <c r="C55" s="122" t="s">
        <v>367</v>
      </c>
      <c r="D55" s="65" t="s">
        <v>79</v>
      </c>
      <c r="E55" s="120" t="s">
        <v>368</v>
      </c>
      <c r="F55" s="81"/>
      <c r="G55" s="120" t="s">
        <v>369</v>
      </c>
      <c r="H55" s="116" t="s">
        <v>88</v>
      </c>
      <c r="I55" s="44" t="s">
        <v>75</v>
      </c>
      <c r="J55" s="116" t="s">
        <v>82</v>
      </c>
      <c r="K55" s="121">
        <v>6.0</v>
      </c>
      <c r="L55" s="121">
        <v>0.0</v>
      </c>
      <c r="M55" s="121">
        <v>6.0</v>
      </c>
      <c r="N55" s="116" t="s">
        <v>94</v>
      </c>
      <c r="O55" s="43" t="s">
        <v>252</v>
      </c>
      <c r="P55" s="81"/>
      <c r="Q55" s="52" t="s">
        <v>98</v>
      </c>
      <c r="R55" s="81"/>
      <c r="S55" s="81"/>
      <c r="T55" s="44" t="s">
        <v>100</v>
      </c>
      <c r="U55" s="81"/>
      <c r="V55" s="81"/>
      <c r="W55" s="81"/>
      <c r="X55" s="44" t="s">
        <v>102</v>
      </c>
      <c r="Y55" s="81"/>
      <c r="Z55" s="81"/>
      <c r="AA55" s="81"/>
    </row>
    <row r="56">
      <c r="A56" s="1"/>
      <c r="B56" s="58" t="s">
        <v>370</v>
      </c>
      <c r="C56" s="123" t="s">
        <v>371</v>
      </c>
      <c r="D56" s="65" t="s">
        <v>79</v>
      </c>
      <c r="E56" s="103" t="s">
        <v>372</v>
      </c>
      <c r="F56" s="1"/>
      <c r="G56" s="120" t="s">
        <v>369</v>
      </c>
      <c r="H56" s="116" t="s">
        <v>88</v>
      </c>
      <c r="I56" s="44" t="s">
        <v>75</v>
      </c>
      <c r="J56" s="116" t="s">
        <v>82</v>
      </c>
      <c r="K56" s="121">
        <v>8.0</v>
      </c>
      <c r="L56" s="121">
        <v>0.0</v>
      </c>
      <c r="M56" s="121">
        <v>8.0</v>
      </c>
      <c r="N56" s="116" t="s">
        <v>94</v>
      </c>
      <c r="O56" s="43" t="s">
        <v>97</v>
      </c>
      <c r="P56" s="1"/>
      <c r="Q56" s="52" t="s">
        <v>98</v>
      </c>
      <c r="R56" s="1"/>
      <c r="S56" s="1"/>
      <c r="T56" s="44" t="s">
        <v>100</v>
      </c>
      <c r="U56" s="1"/>
      <c r="V56" s="1"/>
      <c r="W56" s="1"/>
      <c r="X56" s="44" t="s">
        <v>102</v>
      </c>
      <c r="Y56" s="1"/>
      <c r="Z56" s="1"/>
      <c r="AA56" s="1"/>
    </row>
    <row r="57">
      <c r="A57" s="81"/>
      <c r="B57" s="58" t="s">
        <v>373</v>
      </c>
      <c r="C57" s="85" t="s">
        <v>374</v>
      </c>
      <c r="D57" s="65" t="s">
        <v>79</v>
      </c>
      <c r="E57" s="120" t="s">
        <v>375</v>
      </c>
      <c r="F57" s="81"/>
      <c r="G57" s="120" t="s">
        <v>376</v>
      </c>
      <c r="H57" s="116" t="s">
        <v>88</v>
      </c>
      <c r="I57" s="44" t="s">
        <v>75</v>
      </c>
      <c r="J57" s="116" t="s">
        <v>82</v>
      </c>
      <c r="K57" s="121">
        <v>6.0</v>
      </c>
      <c r="L57" s="121">
        <v>0.0</v>
      </c>
      <c r="M57" s="121">
        <v>6.0</v>
      </c>
      <c r="N57" s="116" t="s">
        <v>94</v>
      </c>
      <c r="O57" s="43" t="s">
        <v>252</v>
      </c>
      <c r="P57" s="81"/>
      <c r="Q57" s="52" t="s">
        <v>98</v>
      </c>
      <c r="R57" s="81"/>
      <c r="S57" s="81"/>
      <c r="T57" s="44" t="s">
        <v>100</v>
      </c>
      <c r="U57" s="81"/>
      <c r="V57" s="81"/>
      <c r="W57" s="81"/>
      <c r="X57" s="44" t="s">
        <v>102</v>
      </c>
      <c r="Y57" s="81"/>
      <c r="Z57" s="81"/>
      <c r="AA57" s="81"/>
    </row>
    <row r="58">
      <c r="A58" s="1"/>
      <c r="B58" s="1"/>
      <c r="C58" s="12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7">
    <mergeCell ref="B2:E2"/>
    <mergeCell ref="B3:E3"/>
    <mergeCell ref="B4:E4"/>
    <mergeCell ref="B6:I6"/>
    <mergeCell ref="J6:P6"/>
    <mergeCell ref="Q6:U6"/>
    <mergeCell ref="V6:AA6"/>
  </mergeCells>
  <dataValidations>
    <dataValidation type="list" allowBlank="1" sqref="V8:V12 V14 V16:V22 V24:V50">
      <formula1>"Rất sẵn sàng,Quan tâm - Cần tư vấn thêm,Chưa có nhu cầu"</formula1>
    </dataValidation>
    <dataValidation type="list" allowBlank="1" sqref="J8:J57">
      <formula1>"Pickleball,Cầu lông,Pickleball &amp; Cầu lông"</formula1>
    </dataValidation>
    <dataValidation type="list" allowBlank="1" sqref="W8:W12 W14 W16:W22 W24:W50">
      <formula1>"Phần mềm quản lý đặt sân &amp; lịch,Bán slot giờ trống trên CourtMate,Cả quản lý sân &amp; bán slot,Thu cọc &amp; thanh toán tự động"</formula1>
    </dataValidation>
    <dataValidation type="list" allowBlank="1" sqref="N33">
      <formula1>"Trong nhà (Indoor),Ngoài trời có mái che,Ngoài trời không mái che,Trong nhà và ngoài trời"</formula1>
    </dataValidation>
    <dataValidation type="list" allowBlank="1" sqref="H8:H57">
      <formula1>"Zalo,Điện thoại trực tiếp,Fanpage Facebook,Email"</formula1>
    </dataValidation>
    <dataValidation type="list" allowBlank="1" sqref="N8:N32 N34:N57">
      <formula1>"Trong nhà (Indoor),Ngoài trời có mái che,Ngoài trời không mái che"</formula1>
    </dataValidation>
    <dataValidation type="list" allowBlank="1" sqref="Y8:Y12 Y14 Y16:Y22 Y24:Y50">
      <formula1>"Sổ tay ghi chép,Excel / Google Sheets,Zalo / Tin nhắn trực tiếp,Phần mềm quản lý khác"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3.88"/>
    <col customWidth="1" min="2" max="2" width="10.13"/>
    <col customWidth="1" min="3" max="3" width="14.5"/>
    <col customWidth="1" min="4" max="4" width="27.63"/>
    <col customWidth="1" min="5" max="5" width="20.13"/>
    <col customWidth="1" min="6" max="6" width="27.38"/>
    <col customWidth="1" min="7" max="7" width="46.88"/>
    <col customWidth="1" min="8" max="8" width="22.63"/>
    <col customWidth="1" min="9" max="9" width="16.38"/>
    <col customWidth="1" min="10" max="10" width="20.13"/>
    <col customWidth="1" min="11" max="11" width="16.38"/>
    <col customWidth="1" min="12" max="12" width="26.0"/>
    <col customWidth="1" min="13" max="14" width="22.63"/>
    <col customWidth="1" min="15" max="15" width="32.75"/>
    <col customWidth="1" min="16" max="17" width="22.63"/>
    <col customWidth="1" min="18" max="18" width="32.63"/>
    <col customWidth="1" min="19" max="19" width="22.63"/>
    <col customWidth="1" min="20" max="20" width="27.63"/>
    <col customWidth="1" min="21" max="21" width="30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5.5" customHeight="1">
      <c r="A2" s="1"/>
      <c r="B2" s="3"/>
      <c r="C2" s="4" t="s">
        <v>0</v>
      </c>
      <c r="D2" s="5"/>
      <c r="E2" s="5"/>
      <c r="F2" s="6"/>
      <c r="G2" s="7" t="s">
        <v>2</v>
      </c>
      <c r="H2" s="9" t="s">
        <v>3</v>
      </c>
      <c r="I2" s="10" t="s">
        <v>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/>
      <c r="B3" s="11"/>
      <c r="C3" s="12" t="s">
        <v>8</v>
      </c>
      <c r="D3" s="13"/>
      <c r="E3" s="13"/>
      <c r="F3" s="14"/>
      <c r="G3" s="15">
        <f>COUNTA(C8:C100)</f>
        <v>13</v>
      </c>
      <c r="H3" s="16">
        <f>COUNTIF(J8:J100, "*Pickleball*")</f>
        <v>8</v>
      </c>
      <c r="I3" s="17">
        <f>COUNTIF(J8:J100, "*Cầu lông*")</f>
        <v>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A4" s="1"/>
      <c r="B4" s="18"/>
      <c r="C4" s="18" t="s">
        <v>11</v>
      </c>
      <c r="G4" s="19" t="s">
        <v>12</v>
      </c>
      <c r="H4" s="20" t="s">
        <v>13</v>
      </c>
      <c r="I4" s="21" t="s">
        <v>14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>
      <c r="A5" s="1"/>
      <c r="B5" s="22"/>
      <c r="C5" s="23"/>
      <c r="D5" s="24"/>
      <c r="E5" s="25"/>
      <c r="F5" s="25"/>
      <c r="G5" s="2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ht="21.0" customHeight="1">
      <c r="A6" s="1"/>
      <c r="B6" s="27"/>
      <c r="C6" s="29" t="s">
        <v>15</v>
      </c>
      <c r="D6" s="30"/>
      <c r="E6" s="30"/>
      <c r="F6" s="30"/>
      <c r="G6" s="30"/>
      <c r="H6" s="30"/>
      <c r="I6" s="31"/>
      <c r="J6" s="32" t="s">
        <v>16</v>
      </c>
      <c r="K6" s="30"/>
      <c r="L6" s="30"/>
      <c r="M6" s="30"/>
      <c r="N6" s="31"/>
      <c r="O6" s="32" t="s">
        <v>18</v>
      </c>
      <c r="P6" s="30"/>
      <c r="Q6" s="30"/>
      <c r="R6" s="31"/>
      <c r="S6" s="32" t="s">
        <v>21</v>
      </c>
      <c r="T6" s="30"/>
      <c r="U6" s="33"/>
    </row>
    <row r="7" ht="25.5" customHeight="1">
      <c r="A7" s="1"/>
      <c r="B7" s="34" t="s">
        <v>24</v>
      </c>
      <c r="C7" s="34" t="s">
        <v>25</v>
      </c>
      <c r="D7" s="35" t="s">
        <v>26</v>
      </c>
      <c r="E7" s="35" t="s">
        <v>27</v>
      </c>
      <c r="F7" s="35" t="s">
        <v>28</v>
      </c>
      <c r="G7" s="35" t="s">
        <v>29</v>
      </c>
      <c r="H7" s="35" t="s">
        <v>30</v>
      </c>
      <c r="I7" s="35" t="s">
        <v>31</v>
      </c>
      <c r="J7" s="35" t="s">
        <v>32</v>
      </c>
      <c r="K7" s="35" t="s">
        <v>33</v>
      </c>
      <c r="L7" s="35" t="s">
        <v>34</v>
      </c>
      <c r="M7" s="35" t="s">
        <v>35</v>
      </c>
      <c r="N7" s="35" t="s">
        <v>36</v>
      </c>
      <c r="O7" s="35" t="s">
        <v>37</v>
      </c>
      <c r="P7" s="35" t="s">
        <v>38</v>
      </c>
      <c r="Q7" s="35" t="s">
        <v>39</v>
      </c>
      <c r="R7" s="35" t="s">
        <v>40</v>
      </c>
      <c r="S7" s="35" t="s">
        <v>41</v>
      </c>
      <c r="T7" s="35" t="s">
        <v>42</v>
      </c>
      <c r="U7" s="36" t="s">
        <v>43</v>
      </c>
    </row>
    <row r="8">
      <c r="A8" s="1"/>
      <c r="B8" s="37" t="s">
        <v>45</v>
      </c>
      <c r="C8" s="39" t="s">
        <v>46</v>
      </c>
      <c r="D8" s="40" t="s">
        <v>47</v>
      </c>
      <c r="E8" s="40" t="s">
        <v>48</v>
      </c>
      <c r="F8" s="40"/>
      <c r="G8" s="42" t="s">
        <v>50</v>
      </c>
      <c r="H8" s="43" t="s">
        <v>71</v>
      </c>
      <c r="I8" s="44" t="s">
        <v>75</v>
      </c>
      <c r="J8" s="44" t="s">
        <v>82</v>
      </c>
      <c r="K8" s="44" t="s">
        <v>83</v>
      </c>
      <c r="L8" s="44" t="s">
        <v>84</v>
      </c>
      <c r="M8" s="44" t="s">
        <v>85</v>
      </c>
      <c r="N8" s="46" t="s">
        <v>86</v>
      </c>
      <c r="O8" s="47" t="s">
        <v>87</v>
      </c>
      <c r="P8" s="44" t="s">
        <v>89</v>
      </c>
      <c r="Q8" s="44" t="s">
        <v>90</v>
      </c>
      <c r="R8" s="43" t="s">
        <v>91</v>
      </c>
      <c r="S8" s="44" t="s">
        <v>92</v>
      </c>
      <c r="T8" s="44" t="s">
        <v>93</v>
      </c>
      <c r="U8" s="49"/>
    </row>
    <row r="9">
      <c r="A9" s="50"/>
      <c r="B9" s="37" t="s">
        <v>95</v>
      </c>
      <c r="C9" s="51" t="s">
        <v>96</v>
      </c>
      <c r="D9" s="53" t="s">
        <v>99</v>
      </c>
      <c r="E9" s="54" t="s">
        <v>101</v>
      </c>
      <c r="F9" s="55"/>
      <c r="G9" s="56" t="s">
        <v>103</v>
      </c>
      <c r="H9" s="57" t="s">
        <v>104</v>
      </c>
      <c r="I9" s="44" t="s">
        <v>75</v>
      </c>
      <c r="J9" s="59" t="s">
        <v>82</v>
      </c>
      <c r="K9" s="59" t="s">
        <v>107</v>
      </c>
      <c r="L9" s="59" t="s">
        <v>108</v>
      </c>
      <c r="M9" s="59" t="s">
        <v>109</v>
      </c>
      <c r="N9" s="62" t="s">
        <v>86</v>
      </c>
      <c r="O9" s="64" t="s">
        <v>111</v>
      </c>
      <c r="P9" s="59" t="s">
        <v>89</v>
      </c>
      <c r="Q9" s="59" t="s">
        <v>90</v>
      </c>
      <c r="R9" s="57" t="s">
        <v>112</v>
      </c>
      <c r="S9" s="59" t="s">
        <v>92</v>
      </c>
      <c r="T9" s="59" t="s">
        <v>93</v>
      </c>
      <c r="U9" s="66"/>
    </row>
    <row r="10">
      <c r="A10" s="1"/>
      <c r="B10" s="37" t="s">
        <v>113</v>
      </c>
      <c r="C10" s="51" t="s">
        <v>114</v>
      </c>
      <c r="D10" s="60" t="s">
        <v>115</v>
      </c>
      <c r="E10" s="60" t="s">
        <v>117</v>
      </c>
      <c r="F10" s="68"/>
      <c r="G10" s="60" t="s">
        <v>119</v>
      </c>
      <c r="H10" s="60" t="s">
        <v>120</v>
      </c>
      <c r="I10" s="70"/>
      <c r="J10" s="65" t="s">
        <v>121</v>
      </c>
      <c r="K10" s="65" t="s">
        <v>122</v>
      </c>
      <c r="L10" s="65" t="s">
        <v>123</v>
      </c>
      <c r="M10" s="65" t="s">
        <v>109</v>
      </c>
      <c r="N10" s="72" t="s">
        <v>86</v>
      </c>
      <c r="O10" s="69" t="s">
        <v>124</v>
      </c>
      <c r="P10" s="65" t="s">
        <v>125</v>
      </c>
      <c r="Q10" s="65" t="s">
        <v>90</v>
      </c>
      <c r="R10" s="65" t="s">
        <v>126</v>
      </c>
      <c r="S10" s="70"/>
      <c r="T10" s="70"/>
      <c r="U10" s="74"/>
    </row>
    <row r="11">
      <c r="B11" s="37" t="s">
        <v>130</v>
      </c>
      <c r="C11" s="51" t="s">
        <v>131</v>
      </c>
      <c r="D11" s="60" t="s">
        <v>132</v>
      </c>
      <c r="E11" s="60" t="s">
        <v>133</v>
      </c>
      <c r="F11" s="68"/>
      <c r="G11" s="60" t="s">
        <v>134</v>
      </c>
      <c r="H11" s="60" t="s">
        <v>135</v>
      </c>
      <c r="I11" s="70"/>
      <c r="J11" s="65" t="s">
        <v>121</v>
      </c>
      <c r="K11" s="65" t="s">
        <v>136</v>
      </c>
      <c r="L11" s="65" t="s">
        <v>137</v>
      </c>
      <c r="M11" s="65" t="s">
        <v>109</v>
      </c>
      <c r="N11" s="72" t="s">
        <v>86</v>
      </c>
      <c r="O11" s="69" t="s">
        <v>124</v>
      </c>
      <c r="P11" s="65" t="s">
        <v>139</v>
      </c>
      <c r="Q11" s="65" t="s">
        <v>90</v>
      </c>
      <c r="R11" s="65" t="s">
        <v>140</v>
      </c>
      <c r="S11" s="70"/>
      <c r="T11" s="70"/>
      <c r="U11" s="74"/>
    </row>
    <row r="12">
      <c r="A12" s="1"/>
      <c r="B12" s="37" t="s">
        <v>142</v>
      </c>
      <c r="C12" s="51" t="s">
        <v>144</v>
      </c>
      <c r="D12" s="79" t="s">
        <v>146</v>
      </c>
      <c r="E12" s="79" t="s">
        <v>147</v>
      </c>
      <c r="F12" s="79"/>
      <c r="G12" s="79" t="s">
        <v>148</v>
      </c>
      <c r="H12" s="75"/>
      <c r="I12" s="70"/>
      <c r="J12" s="65" t="s">
        <v>121</v>
      </c>
      <c r="K12" s="65" t="s">
        <v>136</v>
      </c>
      <c r="L12" s="65" t="s">
        <v>149</v>
      </c>
      <c r="M12" s="65" t="s">
        <v>109</v>
      </c>
      <c r="N12" s="72" t="s">
        <v>150</v>
      </c>
      <c r="O12" s="69" t="s">
        <v>151</v>
      </c>
      <c r="P12" s="65" t="s">
        <v>89</v>
      </c>
      <c r="Q12" s="65" t="s">
        <v>90</v>
      </c>
      <c r="R12" s="65" t="s">
        <v>152</v>
      </c>
      <c r="S12" s="70"/>
      <c r="T12" s="70"/>
      <c r="U12" s="74"/>
    </row>
    <row r="13">
      <c r="A13" s="81"/>
      <c r="B13" s="37" t="s">
        <v>153</v>
      </c>
      <c r="C13" s="82" t="s">
        <v>154</v>
      </c>
      <c r="E13" s="82" t="s">
        <v>157</v>
      </c>
      <c r="G13" s="82" t="s">
        <v>119</v>
      </c>
      <c r="J13" s="65" t="s">
        <v>121</v>
      </c>
      <c r="L13" s="82" t="s">
        <v>158</v>
      </c>
      <c r="M13" s="65" t="s">
        <v>160</v>
      </c>
      <c r="N13" s="72" t="s">
        <v>86</v>
      </c>
      <c r="O13" s="69" t="s">
        <v>124</v>
      </c>
      <c r="P13" s="65" t="s">
        <v>161</v>
      </c>
      <c r="Q13" s="65" t="s">
        <v>90</v>
      </c>
      <c r="R13" s="65" t="s">
        <v>162</v>
      </c>
      <c r="S13" s="70"/>
      <c r="T13" s="70"/>
      <c r="U13" s="74"/>
    </row>
    <row r="14">
      <c r="A14" s="1"/>
      <c r="B14" s="37" t="s">
        <v>163</v>
      </c>
      <c r="C14" s="51" t="s">
        <v>164</v>
      </c>
      <c r="D14" s="60" t="s">
        <v>165</v>
      </c>
      <c r="E14" s="60" t="s">
        <v>166</v>
      </c>
      <c r="F14" s="68"/>
      <c r="G14" s="82" t="s">
        <v>167</v>
      </c>
      <c r="H14" s="60" t="s">
        <v>168</v>
      </c>
      <c r="I14" s="70"/>
      <c r="J14" s="65" t="s">
        <v>121</v>
      </c>
      <c r="K14" s="70"/>
      <c r="L14" s="65" t="s">
        <v>169</v>
      </c>
      <c r="M14" s="65" t="s">
        <v>109</v>
      </c>
      <c r="N14" s="72" t="s">
        <v>86</v>
      </c>
      <c r="O14" s="69" t="s">
        <v>124</v>
      </c>
      <c r="P14" s="65" t="s">
        <v>139</v>
      </c>
      <c r="Q14" s="65" t="s">
        <v>90</v>
      </c>
      <c r="R14" s="65" t="s">
        <v>174</v>
      </c>
      <c r="S14" s="70"/>
      <c r="T14" s="70"/>
      <c r="U14" s="74"/>
    </row>
    <row r="15">
      <c r="A15" s="1"/>
      <c r="B15" s="37" t="s">
        <v>175</v>
      </c>
      <c r="C15" s="51" t="s">
        <v>176</v>
      </c>
      <c r="D15" s="60" t="s">
        <v>165</v>
      </c>
      <c r="E15" s="60" t="s">
        <v>177</v>
      </c>
      <c r="F15" s="68"/>
      <c r="G15" s="82" t="s">
        <v>167</v>
      </c>
      <c r="H15" s="60" t="s">
        <v>168</v>
      </c>
      <c r="I15" s="70"/>
      <c r="J15" s="65" t="s">
        <v>121</v>
      </c>
      <c r="K15" s="70"/>
      <c r="L15" s="65" t="s">
        <v>181</v>
      </c>
      <c r="M15" s="65" t="s">
        <v>85</v>
      </c>
      <c r="N15" s="72" t="s">
        <v>183</v>
      </c>
      <c r="O15" s="69" t="s">
        <v>124</v>
      </c>
      <c r="P15" s="65" t="s">
        <v>139</v>
      </c>
      <c r="Q15" s="65" t="s">
        <v>90</v>
      </c>
      <c r="R15" s="65" t="s">
        <v>184</v>
      </c>
      <c r="S15" s="70"/>
      <c r="T15" s="70"/>
      <c r="U15" s="74"/>
    </row>
    <row r="16">
      <c r="A16" s="1"/>
      <c r="B16" s="37" t="s">
        <v>185</v>
      </c>
      <c r="C16" s="51" t="s">
        <v>186</v>
      </c>
      <c r="D16" s="60" t="s">
        <v>165</v>
      </c>
      <c r="E16" s="79" t="s">
        <v>187</v>
      </c>
      <c r="F16" s="79"/>
      <c r="G16" s="82" t="s">
        <v>167</v>
      </c>
      <c r="H16" s="60" t="s">
        <v>188</v>
      </c>
      <c r="I16" s="70"/>
      <c r="J16" s="65" t="s">
        <v>121</v>
      </c>
      <c r="K16" s="70"/>
      <c r="L16" s="65" t="s">
        <v>189</v>
      </c>
      <c r="M16" s="65" t="s">
        <v>85</v>
      </c>
      <c r="N16" s="72" t="s">
        <v>183</v>
      </c>
      <c r="O16" s="69" t="s">
        <v>124</v>
      </c>
      <c r="P16" s="65" t="s">
        <v>161</v>
      </c>
      <c r="Q16" s="65" t="s">
        <v>90</v>
      </c>
      <c r="R16" s="65" t="s">
        <v>190</v>
      </c>
      <c r="S16" s="70"/>
      <c r="T16" s="70"/>
      <c r="U16" s="74"/>
    </row>
    <row r="17">
      <c r="A17" s="1"/>
      <c r="B17" s="37" t="s">
        <v>192</v>
      </c>
      <c r="C17" s="51" t="s">
        <v>194</v>
      </c>
      <c r="D17" s="60" t="s">
        <v>195</v>
      </c>
      <c r="E17" s="60" t="s">
        <v>197</v>
      </c>
      <c r="F17" s="68"/>
      <c r="G17" s="82" t="s">
        <v>148</v>
      </c>
      <c r="H17" s="82" t="s">
        <v>199</v>
      </c>
      <c r="I17" s="70"/>
      <c r="J17" s="65" t="s">
        <v>121</v>
      </c>
      <c r="K17" s="70"/>
      <c r="L17" s="65" t="s">
        <v>200</v>
      </c>
      <c r="M17" s="65" t="s">
        <v>109</v>
      </c>
      <c r="N17" s="72" t="s">
        <v>86</v>
      </c>
      <c r="O17" s="69" t="s">
        <v>124</v>
      </c>
      <c r="P17" s="65" t="s">
        <v>161</v>
      </c>
      <c r="Q17" s="65" t="s">
        <v>90</v>
      </c>
      <c r="R17" s="65" t="s">
        <v>202</v>
      </c>
      <c r="S17" s="70"/>
      <c r="T17" s="70"/>
      <c r="U17" s="74"/>
    </row>
    <row r="18">
      <c r="A18" s="1"/>
      <c r="B18" s="37" t="s">
        <v>204</v>
      </c>
      <c r="C18" s="86"/>
      <c r="D18" s="60"/>
      <c r="E18" s="60"/>
      <c r="F18" s="68"/>
      <c r="G18" s="75"/>
      <c r="H18" s="75"/>
      <c r="I18" s="70"/>
      <c r="J18" s="70"/>
      <c r="K18" s="70"/>
      <c r="L18" s="70"/>
      <c r="M18" s="65" t="s">
        <v>85</v>
      </c>
      <c r="N18" s="72" t="s">
        <v>86</v>
      </c>
      <c r="O18" s="69"/>
      <c r="P18" s="65" t="s">
        <v>161</v>
      </c>
      <c r="Q18" s="65" t="s">
        <v>90</v>
      </c>
      <c r="R18" s="65"/>
      <c r="S18" s="70"/>
      <c r="T18" s="70"/>
      <c r="U18" s="74"/>
    </row>
    <row r="19">
      <c r="A19" s="1"/>
      <c r="B19" s="37" t="s">
        <v>207</v>
      </c>
      <c r="C19" s="39" t="s">
        <v>208</v>
      </c>
      <c r="D19" s="88" t="s">
        <v>209</v>
      </c>
      <c r="E19" s="89" t="s">
        <v>210</v>
      </c>
      <c r="F19" s="68"/>
      <c r="G19" s="91" t="s">
        <v>211</v>
      </c>
      <c r="H19" s="39" t="s">
        <v>216</v>
      </c>
      <c r="I19" s="44" t="s">
        <v>75</v>
      </c>
      <c r="J19" s="65" t="s">
        <v>82</v>
      </c>
      <c r="K19" s="65" t="s">
        <v>122</v>
      </c>
      <c r="L19" s="93" t="s">
        <v>219</v>
      </c>
      <c r="M19" s="65" t="s">
        <v>160</v>
      </c>
      <c r="N19" s="72" t="s">
        <v>86</v>
      </c>
      <c r="O19" s="69" t="s">
        <v>124</v>
      </c>
      <c r="P19" s="65" t="s">
        <v>125</v>
      </c>
      <c r="Q19" s="65" t="s">
        <v>221</v>
      </c>
      <c r="R19" s="65" t="s">
        <v>222</v>
      </c>
      <c r="S19" s="65"/>
      <c r="T19" s="70"/>
      <c r="U19" s="74"/>
    </row>
    <row r="20">
      <c r="A20" s="1"/>
      <c r="B20" s="37" t="s">
        <v>223</v>
      </c>
      <c r="C20" s="51" t="s">
        <v>224</v>
      </c>
      <c r="D20" s="79" t="s">
        <v>225</v>
      </c>
      <c r="E20" s="79"/>
      <c r="F20" s="79"/>
      <c r="G20" s="87" t="s">
        <v>226</v>
      </c>
      <c r="H20" s="60" t="s">
        <v>216</v>
      </c>
      <c r="I20" s="44" t="s">
        <v>75</v>
      </c>
      <c r="J20" s="65" t="s">
        <v>82</v>
      </c>
      <c r="K20" s="65" t="s">
        <v>231</v>
      </c>
      <c r="L20" s="65" t="s">
        <v>232</v>
      </c>
      <c r="M20" s="65" t="s">
        <v>109</v>
      </c>
      <c r="N20" s="72" t="s">
        <v>86</v>
      </c>
      <c r="O20" s="69" t="s">
        <v>233</v>
      </c>
      <c r="P20" s="65" t="s">
        <v>125</v>
      </c>
      <c r="Q20" s="65" t="s">
        <v>221</v>
      </c>
      <c r="R20" s="70"/>
      <c r="S20" s="70"/>
      <c r="T20" s="70"/>
      <c r="U20" s="74"/>
    </row>
    <row r="21">
      <c r="A21" s="1"/>
      <c r="B21" s="37" t="s">
        <v>234</v>
      </c>
      <c r="C21" s="96" t="s">
        <v>235</v>
      </c>
      <c r="D21" s="60" t="s">
        <v>237</v>
      </c>
      <c r="E21" s="60" t="s">
        <v>238</v>
      </c>
      <c r="F21" s="68"/>
      <c r="G21" s="60" t="s">
        <v>239</v>
      </c>
      <c r="H21" s="60" t="s">
        <v>240</v>
      </c>
      <c r="I21" s="44" t="s">
        <v>75</v>
      </c>
      <c r="J21" s="65" t="s">
        <v>82</v>
      </c>
      <c r="K21" s="65" t="s">
        <v>122</v>
      </c>
      <c r="L21" s="65" t="s">
        <v>243</v>
      </c>
      <c r="M21" s="65" t="s">
        <v>109</v>
      </c>
      <c r="N21" s="72" t="s">
        <v>150</v>
      </c>
      <c r="O21" s="69" t="s">
        <v>124</v>
      </c>
      <c r="P21" s="65" t="s">
        <v>125</v>
      </c>
      <c r="Q21" s="70"/>
      <c r="R21" s="70"/>
      <c r="S21" s="70"/>
      <c r="T21" s="70"/>
      <c r="U21" s="74"/>
    </row>
    <row r="22">
      <c r="A22" s="1"/>
      <c r="B22" s="97"/>
      <c r="C22" s="58"/>
      <c r="D22" s="60"/>
      <c r="E22" s="60"/>
      <c r="F22" s="68"/>
      <c r="G22" s="75"/>
      <c r="H22" s="75"/>
      <c r="I22" s="70"/>
      <c r="J22" s="70"/>
      <c r="K22" s="70"/>
      <c r="L22" s="70"/>
      <c r="M22" s="70"/>
      <c r="N22" s="98"/>
      <c r="O22" s="77"/>
      <c r="P22" s="70"/>
      <c r="Q22" s="70"/>
      <c r="R22" s="70"/>
      <c r="S22" s="70"/>
      <c r="T22" s="70"/>
      <c r="U22" s="74"/>
    </row>
    <row r="23">
      <c r="A23" s="1"/>
      <c r="B23" s="97"/>
      <c r="C23" s="58"/>
      <c r="D23" s="60"/>
      <c r="E23" s="60"/>
      <c r="F23" s="68"/>
      <c r="G23" s="75"/>
      <c r="H23" s="75"/>
      <c r="I23" s="70"/>
      <c r="J23" s="70"/>
      <c r="K23" s="70"/>
      <c r="L23" s="70"/>
      <c r="M23" s="70"/>
      <c r="N23" s="98"/>
      <c r="O23" s="77"/>
      <c r="P23" s="70"/>
      <c r="Q23" s="70"/>
      <c r="R23" s="70"/>
      <c r="S23" s="70"/>
      <c r="T23" s="70"/>
      <c r="U23" s="74"/>
    </row>
    <row r="24">
      <c r="A24" s="1"/>
      <c r="B24" s="100"/>
      <c r="C24" s="101"/>
      <c r="D24" s="70"/>
      <c r="E24" s="70"/>
      <c r="F24" s="70"/>
      <c r="G24" s="70"/>
      <c r="H24" s="75"/>
      <c r="I24" s="70"/>
      <c r="J24" s="70"/>
      <c r="K24" s="70"/>
      <c r="L24" s="70"/>
      <c r="M24" s="70"/>
      <c r="N24" s="98"/>
      <c r="O24" s="77"/>
      <c r="P24" s="70"/>
      <c r="Q24" s="70"/>
      <c r="R24" s="70"/>
      <c r="S24" s="70"/>
      <c r="T24" s="70"/>
      <c r="U24" s="74"/>
    </row>
    <row r="25">
      <c r="A25" s="1"/>
      <c r="B25" s="100"/>
      <c r="C25" s="101"/>
      <c r="D25" s="70"/>
      <c r="E25" s="70"/>
      <c r="F25" s="70"/>
      <c r="G25" s="70"/>
      <c r="H25" s="75"/>
      <c r="I25" s="70"/>
      <c r="J25" s="70"/>
      <c r="K25" s="70"/>
      <c r="L25" s="70"/>
      <c r="M25" s="70"/>
      <c r="N25" s="98"/>
      <c r="O25" s="77"/>
      <c r="P25" s="70"/>
      <c r="Q25" s="70"/>
      <c r="R25" s="70"/>
      <c r="S25" s="70"/>
      <c r="T25" s="70"/>
      <c r="U25" s="74"/>
    </row>
    <row r="26">
      <c r="A26" s="1"/>
      <c r="B26" s="100"/>
      <c r="C26" s="101"/>
      <c r="D26" s="70"/>
      <c r="E26" s="70"/>
      <c r="F26" s="70"/>
      <c r="G26" s="70"/>
      <c r="H26" s="75"/>
      <c r="I26" s="70"/>
      <c r="J26" s="70"/>
      <c r="K26" s="70"/>
      <c r="L26" s="70"/>
      <c r="M26" s="70"/>
      <c r="N26" s="98"/>
      <c r="O26" s="77"/>
      <c r="P26" s="70"/>
      <c r="Q26" s="70"/>
      <c r="R26" s="70"/>
      <c r="S26" s="70"/>
      <c r="T26" s="70"/>
      <c r="U26" s="74"/>
    </row>
    <row r="27">
      <c r="A27" s="1"/>
      <c r="B27" s="100"/>
      <c r="C27" s="101"/>
      <c r="D27" s="70"/>
      <c r="E27" s="70"/>
      <c r="F27" s="70"/>
      <c r="G27" s="70"/>
      <c r="H27" s="75"/>
      <c r="I27" s="70"/>
      <c r="J27" s="70"/>
      <c r="K27" s="70"/>
      <c r="L27" s="70"/>
      <c r="M27" s="70"/>
      <c r="N27" s="98"/>
      <c r="O27" s="77"/>
      <c r="P27" s="70"/>
      <c r="Q27" s="70"/>
      <c r="R27" s="70"/>
      <c r="S27" s="70"/>
      <c r="T27" s="70"/>
      <c r="U27" s="74"/>
    </row>
    <row r="28">
      <c r="A28" s="1"/>
      <c r="B28" s="100"/>
      <c r="C28" s="101"/>
      <c r="D28" s="70"/>
      <c r="E28" s="70"/>
      <c r="F28" s="70"/>
      <c r="G28" s="70"/>
      <c r="H28" s="75"/>
      <c r="I28" s="70"/>
      <c r="J28" s="70"/>
      <c r="K28" s="70"/>
      <c r="L28" s="70"/>
      <c r="M28" s="70"/>
      <c r="N28" s="98"/>
      <c r="O28" s="77"/>
      <c r="P28" s="70"/>
      <c r="Q28" s="70"/>
      <c r="R28" s="70"/>
      <c r="S28" s="70"/>
      <c r="T28" s="70"/>
      <c r="U28" s="74"/>
    </row>
    <row r="29">
      <c r="A29" s="1"/>
      <c r="B29" s="100"/>
      <c r="C29" s="101"/>
      <c r="D29" s="70"/>
      <c r="E29" s="70"/>
      <c r="F29" s="70"/>
      <c r="G29" s="70"/>
      <c r="H29" s="75"/>
      <c r="I29" s="70"/>
      <c r="J29" s="70"/>
      <c r="K29" s="70"/>
      <c r="L29" s="70"/>
      <c r="M29" s="70"/>
      <c r="N29" s="98"/>
      <c r="O29" s="77"/>
      <c r="P29" s="70"/>
      <c r="Q29" s="70"/>
      <c r="R29" s="70"/>
      <c r="S29" s="70"/>
      <c r="T29" s="70"/>
      <c r="U29" s="74"/>
    </row>
    <row r="30">
      <c r="A30" s="1"/>
      <c r="B30" s="100"/>
      <c r="C30" s="101"/>
      <c r="D30" s="70"/>
      <c r="E30" s="70"/>
      <c r="F30" s="70"/>
      <c r="G30" s="70"/>
      <c r="H30" s="75"/>
      <c r="I30" s="70"/>
      <c r="J30" s="70"/>
      <c r="K30" s="70"/>
      <c r="L30" s="70"/>
      <c r="M30" s="70"/>
      <c r="N30" s="98"/>
      <c r="O30" s="77"/>
      <c r="P30" s="70"/>
      <c r="Q30" s="70"/>
      <c r="R30" s="70"/>
      <c r="S30" s="70"/>
      <c r="T30" s="70"/>
      <c r="U30" s="74"/>
    </row>
    <row r="31">
      <c r="A31" s="1"/>
      <c r="B31" s="100"/>
      <c r="C31" s="101"/>
      <c r="D31" s="70"/>
      <c r="E31" s="70"/>
      <c r="F31" s="70"/>
      <c r="G31" s="70"/>
      <c r="H31" s="75"/>
      <c r="I31" s="70"/>
      <c r="J31" s="70"/>
      <c r="K31" s="70"/>
      <c r="L31" s="70"/>
      <c r="M31" s="70"/>
      <c r="N31" s="98"/>
      <c r="O31" s="77"/>
      <c r="P31" s="70"/>
      <c r="Q31" s="70"/>
      <c r="R31" s="70"/>
      <c r="S31" s="70"/>
      <c r="T31" s="70"/>
      <c r="U31" s="74"/>
    </row>
    <row r="32">
      <c r="A32" s="1"/>
      <c r="B32" s="100"/>
      <c r="C32" s="101"/>
      <c r="D32" s="70"/>
      <c r="E32" s="70"/>
      <c r="F32" s="70"/>
      <c r="G32" s="70"/>
      <c r="H32" s="75"/>
      <c r="I32" s="70"/>
      <c r="J32" s="70"/>
      <c r="K32" s="70"/>
      <c r="L32" s="70"/>
      <c r="M32" s="70"/>
      <c r="N32" s="98"/>
      <c r="O32" s="77"/>
      <c r="P32" s="70"/>
      <c r="Q32" s="70"/>
      <c r="R32" s="70"/>
      <c r="S32" s="70"/>
      <c r="T32" s="70"/>
      <c r="U32" s="74"/>
    </row>
    <row r="33">
      <c r="A33" s="1"/>
      <c r="B33" s="100"/>
      <c r="C33" s="101"/>
      <c r="D33" s="70"/>
      <c r="E33" s="70"/>
      <c r="F33" s="70"/>
      <c r="G33" s="70"/>
      <c r="H33" s="75"/>
      <c r="I33" s="70"/>
      <c r="J33" s="70"/>
      <c r="K33" s="70"/>
      <c r="L33" s="70"/>
      <c r="M33" s="70"/>
      <c r="N33" s="98"/>
      <c r="O33" s="77"/>
      <c r="P33" s="70"/>
      <c r="Q33" s="70"/>
      <c r="R33" s="70"/>
      <c r="S33" s="70"/>
      <c r="T33" s="70"/>
      <c r="U33" s="74"/>
    </row>
    <row r="34">
      <c r="A34" s="1"/>
      <c r="B34" s="100"/>
      <c r="C34" s="101"/>
      <c r="D34" s="70"/>
      <c r="E34" s="70"/>
      <c r="F34" s="70"/>
      <c r="G34" s="70"/>
      <c r="H34" s="75"/>
      <c r="I34" s="70"/>
      <c r="J34" s="70"/>
      <c r="K34" s="70"/>
      <c r="L34" s="70"/>
      <c r="M34" s="70"/>
      <c r="N34" s="98"/>
      <c r="O34" s="77"/>
      <c r="P34" s="70"/>
      <c r="Q34" s="70"/>
      <c r="R34" s="70"/>
      <c r="S34" s="70"/>
      <c r="T34" s="70"/>
      <c r="U34" s="74"/>
    </row>
    <row r="35">
      <c r="A35" s="1"/>
      <c r="B35" s="100"/>
      <c r="C35" s="101"/>
      <c r="D35" s="70"/>
      <c r="E35" s="70"/>
      <c r="F35" s="70"/>
      <c r="G35" s="70"/>
      <c r="H35" s="75"/>
      <c r="I35" s="70"/>
      <c r="J35" s="70"/>
      <c r="K35" s="70"/>
      <c r="L35" s="70"/>
      <c r="M35" s="70"/>
      <c r="N35" s="98"/>
      <c r="O35" s="77"/>
      <c r="P35" s="70"/>
      <c r="Q35" s="70"/>
      <c r="R35" s="70"/>
      <c r="S35" s="70"/>
      <c r="T35" s="70"/>
      <c r="U35" s="74"/>
    </row>
    <row r="36">
      <c r="A36" s="1"/>
      <c r="B36" s="100"/>
      <c r="C36" s="101"/>
      <c r="D36" s="70"/>
      <c r="E36" s="70"/>
      <c r="F36" s="70"/>
      <c r="G36" s="70"/>
      <c r="H36" s="75"/>
      <c r="I36" s="70"/>
      <c r="J36" s="70"/>
      <c r="K36" s="70"/>
      <c r="L36" s="70"/>
      <c r="M36" s="70"/>
      <c r="N36" s="98"/>
      <c r="O36" s="77"/>
      <c r="P36" s="70"/>
      <c r="Q36" s="70"/>
      <c r="R36" s="70"/>
      <c r="S36" s="70"/>
      <c r="T36" s="70"/>
      <c r="U36" s="74"/>
    </row>
    <row r="37">
      <c r="A37" s="1"/>
      <c r="B37" s="100"/>
      <c r="C37" s="101"/>
      <c r="D37" s="70"/>
      <c r="E37" s="70"/>
      <c r="F37" s="70"/>
      <c r="G37" s="70"/>
      <c r="H37" s="75"/>
      <c r="I37" s="70"/>
      <c r="J37" s="70"/>
      <c r="K37" s="70"/>
      <c r="L37" s="70"/>
      <c r="M37" s="70"/>
      <c r="N37" s="98"/>
      <c r="O37" s="77"/>
      <c r="P37" s="70"/>
      <c r="Q37" s="70"/>
      <c r="R37" s="70"/>
      <c r="S37" s="70"/>
      <c r="T37" s="70"/>
      <c r="U37" s="74"/>
    </row>
    <row r="38">
      <c r="A38" s="1"/>
      <c r="B38" s="100"/>
      <c r="C38" s="101"/>
      <c r="D38" s="70"/>
      <c r="E38" s="70"/>
      <c r="F38" s="70"/>
      <c r="G38" s="70"/>
      <c r="H38" s="75"/>
      <c r="I38" s="70"/>
      <c r="J38" s="70"/>
      <c r="K38" s="70"/>
      <c r="L38" s="70"/>
      <c r="M38" s="70"/>
      <c r="N38" s="98"/>
      <c r="O38" s="77"/>
      <c r="P38" s="70"/>
      <c r="Q38" s="70"/>
      <c r="R38" s="70"/>
      <c r="S38" s="70"/>
      <c r="T38" s="70"/>
      <c r="U38" s="74"/>
    </row>
    <row r="39">
      <c r="A39" s="1"/>
      <c r="B39" s="100"/>
      <c r="C39" s="101"/>
      <c r="D39" s="70"/>
      <c r="E39" s="70"/>
      <c r="F39" s="70"/>
      <c r="G39" s="70"/>
      <c r="H39" s="75"/>
      <c r="I39" s="70"/>
      <c r="J39" s="70"/>
      <c r="K39" s="70"/>
      <c r="L39" s="70"/>
      <c r="M39" s="70"/>
      <c r="N39" s="98"/>
      <c r="O39" s="77"/>
      <c r="P39" s="70"/>
      <c r="Q39" s="70"/>
      <c r="R39" s="70"/>
      <c r="S39" s="70"/>
      <c r="T39" s="70"/>
      <c r="U39" s="74"/>
    </row>
    <row r="40">
      <c r="A40" s="1"/>
      <c r="B40" s="100"/>
      <c r="C40" s="101"/>
      <c r="D40" s="70"/>
      <c r="E40" s="70"/>
      <c r="F40" s="70"/>
      <c r="G40" s="70"/>
      <c r="H40" s="75"/>
      <c r="I40" s="70"/>
      <c r="J40" s="70"/>
      <c r="K40" s="70"/>
      <c r="L40" s="70"/>
      <c r="M40" s="70"/>
      <c r="N40" s="98"/>
      <c r="O40" s="77"/>
      <c r="P40" s="70"/>
      <c r="Q40" s="70"/>
      <c r="R40" s="70"/>
      <c r="S40" s="70"/>
      <c r="T40" s="70"/>
      <c r="U40" s="74"/>
    </row>
    <row r="41">
      <c r="A41" s="1"/>
      <c r="B41" s="100"/>
      <c r="C41" s="101"/>
      <c r="D41" s="70"/>
      <c r="E41" s="70"/>
      <c r="F41" s="70"/>
      <c r="G41" s="70"/>
      <c r="H41" s="75"/>
      <c r="I41" s="70"/>
      <c r="J41" s="70"/>
      <c r="K41" s="70"/>
      <c r="L41" s="70"/>
      <c r="M41" s="70"/>
      <c r="N41" s="98"/>
      <c r="O41" s="77"/>
      <c r="P41" s="70"/>
      <c r="Q41" s="70"/>
      <c r="R41" s="70"/>
      <c r="S41" s="70"/>
      <c r="T41" s="70"/>
      <c r="U41" s="74"/>
    </row>
    <row r="42">
      <c r="A42" s="1"/>
      <c r="B42" s="100"/>
      <c r="C42" s="101"/>
      <c r="D42" s="70"/>
      <c r="E42" s="70"/>
      <c r="F42" s="70"/>
      <c r="G42" s="70"/>
      <c r="H42" s="75"/>
      <c r="I42" s="70"/>
      <c r="J42" s="70"/>
      <c r="K42" s="70"/>
      <c r="L42" s="70"/>
      <c r="M42" s="70"/>
      <c r="N42" s="98"/>
      <c r="O42" s="77"/>
      <c r="P42" s="70"/>
      <c r="Q42" s="70"/>
      <c r="R42" s="70"/>
      <c r="S42" s="70"/>
      <c r="T42" s="70"/>
      <c r="U42" s="74"/>
    </row>
    <row r="43">
      <c r="A43" s="1"/>
      <c r="B43" s="100"/>
      <c r="C43" s="101"/>
      <c r="D43" s="70"/>
      <c r="E43" s="70"/>
      <c r="F43" s="70"/>
      <c r="G43" s="70"/>
      <c r="H43" s="75"/>
      <c r="I43" s="70"/>
      <c r="J43" s="70"/>
      <c r="K43" s="70"/>
      <c r="L43" s="70"/>
      <c r="M43" s="70"/>
      <c r="N43" s="98"/>
      <c r="O43" s="77"/>
      <c r="P43" s="70"/>
      <c r="Q43" s="70"/>
      <c r="R43" s="70"/>
      <c r="S43" s="70"/>
      <c r="T43" s="70"/>
      <c r="U43" s="74"/>
    </row>
    <row r="44">
      <c r="A44" s="1"/>
      <c r="B44" s="100"/>
      <c r="C44" s="101"/>
      <c r="D44" s="70"/>
      <c r="E44" s="70"/>
      <c r="F44" s="70"/>
      <c r="G44" s="70"/>
      <c r="H44" s="75"/>
      <c r="I44" s="70"/>
      <c r="J44" s="70"/>
      <c r="K44" s="70"/>
      <c r="L44" s="70"/>
      <c r="M44" s="70"/>
      <c r="N44" s="98"/>
      <c r="O44" s="77"/>
      <c r="P44" s="70"/>
      <c r="Q44" s="70"/>
      <c r="R44" s="70"/>
      <c r="S44" s="70"/>
      <c r="T44" s="70"/>
      <c r="U44" s="74"/>
    </row>
    <row r="45">
      <c r="A45" s="1"/>
      <c r="B45" s="100"/>
      <c r="C45" s="101"/>
      <c r="D45" s="70"/>
      <c r="E45" s="70"/>
      <c r="F45" s="70"/>
      <c r="G45" s="70"/>
      <c r="H45" s="75"/>
      <c r="I45" s="70"/>
      <c r="J45" s="70"/>
      <c r="K45" s="70"/>
      <c r="L45" s="70"/>
      <c r="M45" s="70"/>
      <c r="N45" s="98"/>
      <c r="O45" s="77"/>
      <c r="P45" s="70"/>
      <c r="Q45" s="70"/>
      <c r="R45" s="70"/>
      <c r="S45" s="70"/>
      <c r="T45" s="70"/>
      <c r="U45" s="74"/>
    </row>
    <row r="46">
      <c r="A46" s="1"/>
      <c r="B46" s="100"/>
      <c r="C46" s="101"/>
      <c r="D46" s="70"/>
      <c r="E46" s="70"/>
      <c r="F46" s="70"/>
      <c r="G46" s="70"/>
      <c r="H46" s="75"/>
      <c r="I46" s="70"/>
      <c r="J46" s="70"/>
      <c r="K46" s="70"/>
      <c r="L46" s="70"/>
      <c r="M46" s="70"/>
      <c r="N46" s="98"/>
      <c r="O46" s="77"/>
      <c r="P46" s="70"/>
      <c r="Q46" s="70"/>
      <c r="R46" s="70"/>
      <c r="S46" s="70"/>
      <c r="T46" s="70"/>
      <c r="U46" s="74"/>
    </row>
    <row r="47">
      <c r="A47" s="1"/>
      <c r="B47" s="100"/>
      <c r="C47" s="101"/>
      <c r="D47" s="70"/>
      <c r="E47" s="70"/>
      <c r="F47" s="70"/>
      <c r="G47" s="70"/>
      <c r="H47" s="75"/>
      <c r="I47" s="70"/>
      <c r="J47" s="70"/>
      <c r="K47" s="70"/>
      <c r="L47" s="70"/>
      <c r="M47" s="70"/>
      <c r="N47" s="98"/>
      <c r="O47" s="77"/>
      <c r="P47" s="70"/>
      <c r="Q47" s="70"/>
      <c r="R47" s="70"/>
      <c r="S47" s="70"/>
      <c r="T47" s="70"/>
      <c r="U47" s="74"/>
    </row>
    <row r="48">
      <c r="A48" s="1"/>
      <c r="B48" s="100"/>
      <c r="C48" s="101"/>
      <c r="D48" s="70"/>
      <c r="E48" s="70"/>
      <c r="F48" s="70"/>
      <c r="G48" s="70"/>
      <c r="H48" s="75"/>
      <c r="I48" s="70"/>
      <c r="J48" s="70"/>
      <c r="K48" s="70"/>
      <c r="L48" s="70"/>
      <c r="M48" s="70"/>
      <c r="N48" s="98"/>
      <c r="O48" s="77"/>
      <c r="P48" s="70"/>
      <c r="Q48" s="70"/>
      <c r="R48" s="70"/>
      <c r="S48" s="70"/>
      <c r="T48" s="70"/>
      <c r="U48" s="74"/>
    </row>
    <row r="49">
      <c r="A49" s="1"/>
      <c r="B49" s="100"/>
      <c r="C49" s="101"/>
      <c r="D49" s="70"/>
      <c r="E49" s="70"/>
      <c r="F49" s="70"/>
      <c r="G49" s="70"/>
      <c r="H49" s="75"/>
      <c r="I49" s="70"/>
      <c r="J49" s="70"/>
      <c r="K49" s="70"/>
      <c r="L49" s="70"/>
      <c r="M49" s="70"/>
      <c r="N49" s="98"/>
      <c r="O49" s="77"/>
      <c r="P49" s="70"/>
      <c r="Q49" s="70"/>
      <c r="R49" s="70"/>
      <c r="S49" s="70"/>
      <c r="T49" s="70"/>
      <c r="U49" s="74"/>
    </row>
    <row r="50">
      <c r="A50" s="1"/>
      <c r="B50" s="100"/>
      <c r="C50" s="106"/>
      <c r="D50" s="107"/>
      <c r="E50" s="107"/>
      <c r="F50" s="107"/>
      <c r="G50" s="107"/>
      <c r="H50" s="108"/>
      <c r="I50" s="107"/>
      <c r="J50" s="107"/>
      <c r="K50" s="107"/>
      <c r="L50" s="107"/>
      <c r="M50" s="107"/>
      <c r="N50" s="109"/>
      <c r="O50" s="110"/>
      <c r="P50" s="107"/>
      <c r="Q50" s="107"/>
      <c r="R50" s="107"/>
      <c r="S50" s="107"/>
      <c r="T50" s="107"/>
      <c r="U50" s="111"/>
    </row>
    <row r="51">
      <c r="A51" s="1"/>
      <c r="B51" s="1"/>
      <c r="C51" s="1"/>
      <c r="D51" s="1"/>
      <c r="E51" s="1"/>
      <c r="F51" s="1"/>
      <c r="G51" s="1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</sheetData>
  <mergeCells count="7">
    <mergeCell ref="C2:F2"/>
    <mergeCell ref="C3:F3"/>
    <mergeCell ref="C4:F4"/>
    <mergeCell ref="C6:I6"/>
    <mergeCell ref="J6:N6"/>
    <mergeCell ref="O6:R6"/>
    <mergeCell ref="S6:U6"/>
  </mergeCells>
  <dataValidations>
    <dataValidation type="list" allowBlank="1" sqref="S8:S50">
      <formula1>"Rất sẵn sàng,Quan tâm - Cần tư vấn thêm,Chưa có nhu cầu"</formula1>
    </dataValidation>
    <dataValidation type="list" allowBlank="1" sqref="J8:J50">
      <formula1>"Pickleball,Cầu lông,Pickleball &amp; Cầu lông"</formula1>
    </dataValidation>
    <dataValidation type="list" allowBlank="1" sqref="P8:P50">
      <formula1>"Google Form,Zalo / Tin nhắn trực tiếp,Fanpage / Bài đăng mạng xã hội,Website riêng / App"</formula1>
    </dataValidation>
    <dataValidation type="list" allowBlank="1" sqref="K20">
      <formula1>"1 tháng / lần,Quý / lần,Nửa năm / lần,1 năm / lần,4 năm/lần"</formula1>
    </dataValidation>
    <dataValidation type="list" allowBlank="1" sqref="M8:M50">
      <formula1>"Vòng bảng + Loại trực tiếp,Loại trực tiếp (Knockout),Nhánh thắng - Nhánh thua (Double Elim),Vòng tròn tính điểm (Round Robin)"</formula1>
    </dataValidation>
    <dataValidation type="list" allowBlank="1" sqref="T8:T50">
      <formula1>"Cổng đăng ký &amp; thu lệ phí tự động,Tạo nhánh đấu &amp; bốc thăm tự động,Cập nhật tỉ số &amp; kết quả trực tiếp (Live Score),Trọn gói giải pháp giải đấu"</formula1>
    </dataValidation>
    <dataValidation type="list" allowBlank="1" sqref="Q8:Q50">
      <formula1>"Bốc thăm thủ công + Excel,Giấy bút / Bảng mica,Phần mềm thi đấu chuyên dụng"</formula1>
    </dataValidation>
    <dataValidation type="list" allowBlank="1" sqref="K8:K12 K14:K19 K21:K50">
      <formula1>"1 tháng / lần,Quý / lần,Nửa năm / lần,1 năm / lần"</formula1>
    </dataValidation>
    <dataValidation type="list" allowBlank="1" sqref="N8:N50">
      <formula1>"Thuê cố định 1 cụm sân,Lưu động đổi sân theo từng giải,Sân nhà tự sở hữu"</formula1>
    </dataValidation>
  </dataValidations>
  <hyperlinks>
    <hyperlink r:id="rId1" ref="G8"/>
    <hyperlink r:id="rId2" ref="D9"/>
    <hyperlink r:id="rId3" ref="E9"/>
    <hyperlink r:id="rId4" ref="G9"/>
    <hyperlink r:id="rId5" ref="G19"/>
  </hyperlinks>
  <drawing r:id="rId6"/>
  <tableParts count="1">
    <tablePart r:id="rId8"/>
  </tableParts>
</worksheet>
</file>